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DCA04927-CB98-4A48-96C3-AA72A5982254}" xr6:coauthVersionLast="47" xr6:coauthVersionMax="47" xr10:uidLastSave="{00000000-0000-0000-0000-000000000000}"/>
  <bookViews>
    <workbookView xWindow="0" yWindow="680" windowWidth="30240" windowHeight="18960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" i="8" l="1"/>
  <c r="AD40" i="8"/>
  <c r="AC42" i="8"/>
  <c r="LD15" i="6"/>
  <c r="KZ15" i="6"/>
  <c r="LD12" i="6"/>
  <c r="KV48" i="6" l="1"/>
  <c r="KY48" i="6" s="1"/>
  <c r="KV47" i="6"/>
  <c r="KV46" i="6"/>
  <c r="KV45" i="6"/>
  <c r="KY45" i="6" s="1"/>
  <c r="KX39" i="6"/>
  <c r="LD25" i="6"/>
  <c r="KW9" i="6"/>
  <c r="KY61" i="6"/>
  <c r="KY60" i="6"/>
  <c r="KY59" i="6"/>
  <c r="KV58" i="6"/>
  <c r="KY58" i="6" s="1"/>
  <c r="KY57" i="6"/>
  <c r="KY56" i="6"/>
  <c r="KY55" i="6"/>
  <c r="KY54" i="6"/>
  <c r="KY53" i="6"/>
  <c r="KY52" i="6"/>
  <c r="KY51" i="6"/>
  <c r="KY50" i="6"/>
  <c r="KY49" i="6"/>
  <c r="KY47" i="6"/>
  <c r="KY44" i="6"/>
  <c r="KY43" i="6"/>
  <c r="KY42" i="6"/>
  <c r="KY41" i="6"/>
  <c r="KY40" i="6"/>
  <c r="KY39" i="6"/>
  <c r="KX38" i="6"/>
  <c r="KY38" i="6" s="1"/>
  <c r="KY37" i="6"/>
  <c r="KX36" i="6"/>
  <c r="KW36" i="6"/>
  <c r="KW35" i="6"/>
  <c r="KV35" i="6"/>
  <c r="KX35" i="6" s="1"/>
  <c r="KX34" i="6"/>
  <c r="KW34" i="6"/>
  <c r="KY34" i="6" s="1"/>
  <c r="KW33" i="6"/>
  <c r="KV33" i="6"/>
  <c r="KX32" i="6"/>
  <c r="KY32" i="6" s="1"/>
  <c r="KX31" i="6"/>
  <c r="KW31" i="6"/>
  <c r="KX30" i="6"/>
  <c r="KY30" i="6" s="1"/>
  <c r="KX29" i="6"/>
  <c r="KY29" i="6" s="1"/>
  <c r="LA24" i="6"/>
  <c r="LD24" i="6" s="1"/>
  <c r="LA23" i="6"/>
  <c r="LD23" i="6" s="1"/>
  <c r="LA22" i="6"/>
  <c r="LD22" i="6" s="1"/>
  <c r="LA21" i="6"/>
  <c r="LD21" i="6" s="1"/>
  <c r="LA20" i="6"/>
  <c r="LD20" i="6" s="1"/>
  <c r="LA19" i="6"/>
  <c r="LD19" i="6" s="1"/>
  <c r="LA18" i="6"/>
  <c r="LD18" i="6" s="1"/>
  <c r="LD17" i="6"/>
  <c r="KZ16" i="6"/>
  <c r="LD16" i="6" s="1"/>
  <c r="KZ14" i="6"/>
  <c r="KZ13" i="6"/>
  <c r="LD13" i="6" s="1"/>
  <c r="LD11" i="6"/>
  <c r="LD10" i="6"/>
  <c r="KX9" i="6"/>
  <c r="LA8" i="6"/>
  <c r="KZ8" i="6"/>
  <c r="LD8" i="6" s="1"/>
  <c r="LA7" i="6"/>
  <c r="KZ7" i="6"/>
  <c r="LA6" i="6"/>
  <c r="KZ6" i="6"/>
  <c r="LD6" i="6" s="1"/>
  <c r="LA5" i="6"/>
  <c r="KZ5" i="6"/>
  <c r="KZ4" i="6"/>
  <c r="LD4" i="6" s="1"/>
  <c r="KZ3" i="6"/>
  <c r="LD3" i="6" s="1"/>
  <c r="LD2" i="6"/>
  <c r="JL47" i="6"/>
  <c r="JL45" i="6"/>
  <c r="JX45" i="6"/>
  <c r="KA45" i="6" s="1"/>
  <c r="JX47" i="6"/>
  <c r="KA47" i="6" s="1"/>
  <c r="KA61" i="6"/>
  <c r="KA60" i="6"/>
  <c r="KA59" i="6"/>
  <c r="JX58" i="6"/>
  <c r="KA58" i="6" s="1"/>
  <c r="KA57" i="6"/>
  <c r="KA56" i="6"/>
  <c r="KA55" i="6"/>
  <c r="KA54" i="6"/>
  <c r="KA53" i="6"/>
  <c r="KA52" i="6"/>
  <c r="KA51" i="6"/>
  <c r="KA50" i="6"/>
  <c r="KA49" i="6"/>
  <c r="JX48" i="6"/>
  <c r="KA48" i="6" s="1"/>
  <c r="JX46" i="6"/>
  <c r="JZ46" i="6" s="1"/>
  <c r="KA46" i="6" s="1"/>
  <c r="KA44" i="6"/>
  <c r="KA43" i="6"/>
  <c r="KA42" i="6"/>
  <c r="KA41" i="6"/>
  <c r="KA40" i="6"/>
  <c r="JZ39" i="6"/>
  <c r="KA39" i="6" s="1"/>
  <c r="JZ38" i="6"/>
  <c r="KA38" i="6" s="1"/>
  <c r="KA37" i="6"/>
  <c r="JZ36" i="6"/>
  <c r="JY36" i="6"/>
  <c r="JY35" i="6"/>
  <c r="JX35" i="6"/>
  <c r="JZ35" i="6" s="1"/>
  <c r="KA35" i="6" s="1"/>
  <c r="JZ34" i="6"/>
  <c r="JY34" i="6"/>
  <c r="KA34" i="6" s="1"/>
  <c r="JY33" i="6"/>
  <c r="JX33" i="6"/>
  <c r="JZ32" i="6"/>
  <c r="KA32" i="6" s="1"/>
  <c r="JZ31" i="6"/>
  <c r="JY31" i="6"/>
  <c r="JZ30" i="6"/>
  <c r="KA30" i="6" s="1"/>
  <c r="JZ29" i="6"/>
  <c r="KA29" i="6" s="1"/>
  <c r="KF25" i="6"/>
  <c r="KC24" i="6"/>
  <c r="KF24" i="6" s="1"/>
  <c r="KC23" i="6"/>
  <c r="KF23" i="6" s="1"/>
  <c r="KC22" i="6"/>
  <c r="KF22" i="6" s="1"/>
  <c r="KC21" i="6"/>
  <c r="KF21" i="6" s="1"/>
  <c r="KC20" i="6"/>
  <c r="KF20" i="6" s="1"/>
  <c r="KC19" i="6"/>
  <c r="KF19" i="6" s="1"/>
  <c r="KC18" i="6"/>
  <c r="KF18" i="6" s="1"/>
  <c r="KC17" i="6"/>
  <c r="KF17" i="6" s="1"/>
  <c r="KF16" i="6"/>
  <c r="KB15" i="6"/>
  <c r="KF15" i="6" s="1"/>
  <c r="KB14" i="6"/>
  <c r="KF14" i="6" s="1"/>
  <c r="KB13" i="6"/>
  <c r="KF13" i="6" s="1"/>
  <c r="KF12" i="6"/>
  <c r="KF11" i="6"/>
  <c r="KF10" i="6"/>
  <c r="JZ9" i="6"/>
  <c r="KF9" i="6" s="1"/>
  <c r="KC8" i="6"/>
  <c r="KB8" i="6"/>
  <c r="KC7" i="6"/>
  <c r="KB7" i="6"/>
  <c r="KC6" i="6"/>
  <c r="KB6" i="6"/>
  <c r="KF6" i="6" s="1"/>
  <c r="KC5" i="6"/>
  <c r="KB5" i="6"/>
  <c r="KF5" i="6" s="1"/>
  <c r="KB4" i="6"/>
  <c r="KF4" i="6" s="1"/>
  <c r="KB3" i="6"/>
  <c r="KF3" i="6" s="1"/>
  <c r="KF2" i="6"/>
  <c r="JM35" i="6"/>
  <c r="JL35" i="6"/>
  <c r="JM33" i="6"/>
  <c r="JL33" i="6"/>
  <c r="JN33" i="6" s="1"/>
  <c r="JO33" i="6" s="1"/>
  <c r="JQ24" i="6"/>
  <c r="JT24" i="6" s="1"/>
  <c r="BN44" i="8"/>
  <c r="BQ44" i="8"/>
  <c r="BK44" i="8"/>
  <c r="BQ43" i="8"/>
  <c r="BK43" i="8"/>
  <c r="BD44" i="8"/>
  <c r="BG44" i="8"/>
  <c r="BH44" i="8"/>
  <c r="BD43" i="8"/>
  <c r="BG43" i="8"/>
  <c r="BC43" i="8"/>
  <c r="BI44" i="8"/>
  <c r="BR44" i="8"/>
  <c r="BN43" i="8"/>
  <c r="BR43" i="8"/>
  <c r="BI43" i="8"/>
  <c r="P43" i="8"/>
  <c r="AY43" i="8"/>
  <c r="AX44" i="8"/>
  <c r="AX43" i="8"/>
  <c r="AG44" i="8"/>
  <c r="AF44" i="8"/>
  <c r="AF43" i="8"/>
  <c r="AH44" i="8"/>
  <c r="AQ44" i="8"/>
  <c r="AL44" i="8"/>
  <c r="AY44" i="8"/>
  <c r="AI44" i="8"/>
  <c r="U44" i="8"/>
  <c r="AM44" i="8"/>
  <c r="AU44" i="8"/>
  <c r="AP44" i="8"/>
  <c r="Y44" i="8"/>
  <c r="AK44" i="8"/>
  <c r="AN44" i="8"/>
  <c r="AO44" i="8"/>
  <c r="AQ43" i="8"/>
  <c r="AH43" i="8"/>
  <c r="N43" i="8"/>
  <c r="AL43" i="8"/>
  <c r="AI43" i="8"/>
  <c r="AC43" i="8"/>
  <c r="AU43" i="8"/>
  <c r="AM43" i="8"/>
  <c r="AP43" i="8"/>
  <c r="O43" i="8" s="1"/>
  <c r="AW44" i="8"/>
  <c r="X44" i="8"/>
  <c r="AB44" i="8"/>
  <c r="AW43" i="8"/>
  <c r="AR43" i="8"/>
  <c r="AB43" i="8"/>
  <c r="AG43" i="8"/>
  <c r="O44" i="8"/>
  <c r="AZ44" i="8"/>
  <c r="N44" i="8"/>
  <c r="M44" i="8"/>
  <c r="R44" i="8"/>
  <c r="S44" i="8"/>
  <c r="P44" i="8"/>
  <c r="BA43" i="8"/>
  <c r="AZ43" i="8"/>
  <c r="M43" i="8"/>
  <c r="S43" i="8"/>
  <c r="R43" i="8"/>
  <c r="L43" i="8"/>
  <c r="JN35" i="6"/>
  <c r="JO55" i="6"/>
  <c r="JO60" i="6"/>
  <c r="JN38" i="6"/>
  <c r="JO40" i="6"/>
  <c r="KA31" i="6" l="1"/>
  <c r="KA36" i="6"/>
  <c r="LD14" i="6"/>
  <c r="LD9" i="6"/>
  <c r="KY36" i="6"/>
  <c r="KF8" i="6"/>
  <c r="LD5" i="6"/>
  <c r="KF7" i="6"/>
  <c r="KF26" i="6" s="1"/>
  <c r="LD7" i="6"/>
  <c r="KY35" i="6"/>
  <c r="KX33" i="6"/>
  <c r="KY33" i="6" s="1"/>
  <c r="KY31" i="6"/>
  <c r="KY46" i="6"/>
  <c r="JZ33" i="6"/>
  <c r="KA33" i="6" s="1"/>
  <c r="KA63" i="6" s="1"/>
  <c r="BB43" i="8"/>
  <c r="L44" i="8"/>
  <c r="Z44" i="8"/>
  <c r="X43" i="8"/>
  <c r="BA44" i="8"/>
  <c r="BB44" i="8" s="1"/>
  <c r="K44" i="8"/>
  <c r="Q44" i="8" s="1"/>
  <c r="T44" i="8"/>
  <c r="Y43" i="8"/>
  <c r="Z43" i="8" s="1"/>
  <c r="T43" i="8"/>
  <c r="K43" i="8"/>
  <c r="Q43" i="8" s="1"/>
  <c r="U43" i="8"/>
  <c r="H43" i="8" s="1"/>
  <c r="JL46" i="6"/>
  <c r="JN46" i="6"/>
  <c r="JL48" i="6"/>
  <c r="JO48" i="6" s="1"/>
  <c r="JT25" i="6"/>
  <c r="KM56" i="6"/>
  <c r="KM54" i="6"/>
  <c r="KJ53" i="6"/>
  <c r="KM53" i="6" s="1"/>
  <c r="KM52" i="6"/>
  <c r="KM51" i="6"/>
  <c r="KM50" i="6"/>
  <c r="KM49" i="6"/>
  <c r="KM48" i="6"/>
  <c r="KM47" i="6"/>
  <c r="KM46" i="6"/>
  <c r="KM45" i="6"/>
  <c r="KM44" i="6"/>
  <c r="KJ43" i="6"/>
  <c r="KM43" i="6" s="1"/>
  <c r="KJ42" i="6"/>
  <c r="KM42" i="6" s="1"/>
  <c r="KJ41" i="6"/>
  <c r="KL41" i="6" s="1"/>
  <c r="KM41" i="6" s="1"/>
  <c r="KJ40" i="6"/>
  <c r="KM40" i="6" s="1"/>
  <c r="KJ39" i="6"/>
  <c r="KL39" i="6" s="1"/>
  <c r="KM39" i="6" s="1"/>
  <c r="KM38" i="6"/>
  <c r="KL37" i="6"/>
  <c r="KM37" i="6" s="1"/>
  <c r="KL36" i="6"/>
  <c r="KM36" i="6" s="1"/>
  <c r="KL35" i="6"/>
  <c r="KM35" i="6" s="1"/>
  <c r="KM34" i="6"/>
  <c r="KL33" i="6"/>
  <c r="KK33" i="6"/>
  <c r="KL32" i="6"/>
  <c r="KM32" i="6" s="1"/>
  <c r="KL31" i="6"/>
  <c r="KM31" i="6" s="1"/>
  <c r="KL30" i="6"/>
  <c r="KK30" i="6"/>
  <c r="KL29" i="6"/>
  <c r="KK29" i="6"/>
  <c r="KL28" i="6"/>
  <c r="KM28" i="6" s="1"/>
  <c r="KR24" i="6"/>
  <c r="KO23" i="6"/>
  <c r="KR23" i="6" s="1"/>
  <c r="KO22" i="6"/>
  <c r="KR22" i="6" s="1"/>
  <c r="KO21" i="6"/>
  <c r="KR21" i="6" s="1"/>
  <c r="KO20" i="6"/>
  <c r="KR20" i="6" s="1"/>
  <c r="KO19" i="6"/>
  <c r="KR19" i="6" s="1"/>
  <c r="KO18" i="6"/>
  <c r="KR18" i="6" s="1"/>
  <c r="KO17" i="6"/>
  <c r="KR17" i="6" s="1"/>
  <c r="KR16" i="6"/>
  <c r="KN15" i="6"/>
  <c r="KR15" i="6" s="1"/>
  <c r="KN14" i="6"/>
  <c r="KR14" i="6" s="1"/>
  <c r="KN13" i="6"/>
  <c r="KR13" i="6" s="1"/>
  <c r="KR12" i="6"/>
  <c r="KR11" i="6"/>
  <c r="KR10" i="6"/>
  <c r="KL9" i="6"/>
  <c r="KR9" i="6" s="1"/>
  <c r="KO8" i="6"/>
  <c r="KN8" i="6"/>
  <c r="KO7" i="6"/>
  <c r="KN7" i="6"/>
  <c r="KO6" i="6"/>
  <c r="KN6" i="6"/>
  <c r="KO5" i="6"/>
  <c r="KN5" i="6"/>
  <c r="KR5" i="6" s="1"/>
  <c r="KN4" i="6"/>
  <c r="KR4" i="6" s="1"/>
  <c r="KN3" i="6"/>
  <c r="KR3" i="6" s="1"/>
  <c r="KR2" i="6"/>
  <c r="JO52" i="6"/>
  <c r="JO45" i="6"/>
  <c r="JQ17" i="6"/>
  <c r="JT17" i="6" s="1"/>
  <c r="JQ18" i="6"/>
  <c r="JT18" i="6" s="1"/>
  <c r="JQ5" i="6"/>
  <c r="JO37" i="6"/>
  <c r="JM34" i="6"/>
  <c r="JO43" i="6"/>
  <c r="JN36" i="6"/>
  <c r="JM36" i="6"/>
  <c r="JN30" i="6"/>
  <c r="JO61" i="6"/>
  <c r="JO59" i="6"/>
  <c r="JL58" i="6"/>
  <c r="JO58" i="6" s="1"/>
  <c r="JO57" i="6"/>
  <c r="JO56" i="6"/>
  <c r="JO54" i="6"/>
  <c r="JO53" i="6"/>
  <c r="JO51" i="6"/>
  <c r="JO50" i="6"/>
  <c r="JO49" i="6"/>
  <c r="JO47" i="6"/>
  <c r="JO42" i="6"/>
  <c r="JO41" i="6"/>
  <c r="JN39" i="6"/>
  <c r="JO39" i="6" s="1"/>
  <c r="JO38" i="6"/>
  <c r="JN34" i="6"/>
  <c r="JN32" i="6"/>
  <c r="JO32" i="6" s="1"/>
  <c r="JN31" i="6"/>
  <c r="JM31" i="6"/>
  <c r="JN29" i="6"/>
  <c r="JO29" i="6" s="1"/>
  <c r="JQ23" i="6"/>
  <c r="JT23" i="6" s="1"/>
  <c r="JQ22" i="6"/>
  <c r="JT22" i="6" s="1"/>
  <c r="JQ21" i="6"/>
  <c r="JT21" i="6" s="1"/>
  <c r="JQ20" i="6"/>
  <c r="JT20" i="6" s="1"/>
  <c r="JQ19" i="6"/>
  <c r="JT19" i="6" s="1"/>
  <c r="JT16" i="6"/>
  <c r="JP15" i="6"/>
  <c r="JT15" i="6" s="1"/>
  <c r="JP14" i="6"/>
  <c r="JT14" i="6" s="1"/>
  <c r="JP13" i="6"/>
  <c r="JT13" i="6" s="1"/>
  <c r="JT12" i="6"/>
  <c r="JT11" i="6"/>
  <c r="JT10" i="6"/>
  <c r="JN9" i="6"/>
  <c r="JT9" i="6" s="1"/>
  <c r="JQ8" i="6"/>
  <c r="JP8" i="6"/>
  <c r="JQ7" i="6"/>
  <c r="JP7" i="6"/>
  <c r="JQ6" i="6"/>
  <c r="JP6" i="6"/>
  <c r="JP5" i="6"/>
  <c r="JP4" i="6"/>
  <c r="JT4" i="6" s="1"/>
  <c r="JP3" i="6"/>
  <c r="JT3" i="6" s="1"/>
  <c r="JT2" i="6"/>
  <c r="BQ42" i="8"/>
  <c r="BF42" i="8"/>
  <c r="BC42" i="8"/>
  <c r="BD42" i="8"/>
  <c r="BN42" i="8"/>
  <c r="BO42" i="8"/>
  <c r="AX42" i="8"/>
  <c r="AF42" i="8"/>
  <c r="LD26" i="6" l="1"/>
  <c r="KY63" i="6"/>
  <c r="KF63" i="6"/>
  <c r="JV3" i="6" s="1"/>
  <c r="KM30" i="6"/>
  <c r="JO46" i="6"/>
  <c r="V44" i="8"/>
  <c r="G44" i="8"/>
  <c r="H44" i="8"/>
  <c r="G43" i="8"/>
  <c r="V43" i="8"/>
  <c r="KR8" i="6"/>
  <c r="KM29" i="6"/>
  <c r="KM33" i="6"/>
  <c r="KR7" i="6"/>
  <c r="KR6" i="6"/>
  <c r="JT8" i="6"/>
  <c r="JT5" i="6"/>
  <c r="JO36" i="6"/>
  <c r="JO34" i="6"/>
  <c r="JO30" i="6"/>
  <c r="JO35" i="6"/>
  <c r="JO44" i="6"/>
  <c r="JT7" i="6"/>
  <c r="JT6" i="6"/>
  <c r="JO31" i="6"/>
  <c r="AQ42" i="8"/>
  <c r="AL42" i="8"/>
  <c r="AY42" i="8"/>
  <c r="AM42" i="8"/>
  <c r="AO41" i="8"/>
  <c r="AG42" i="8"/>
  <c r="AD42" i="8"/>
  <c r="AH41" i="8"/>
  <c r="AQ41" i="8"/>
  <c r="KM58" i="6" l="1"/>
  <c r="LD63" i="6"/>
  <c r="KT3" i="6" s="1"/>
  <c r="KR25" i="6"/>
  <c r="KR58" i="6" s="1"/>
  <c r="KH3" i="6" s="1"/>
  <c r="I44" i="8"/>
  <c r="I43" i="8"/>
  <c r="JT26" i="6"/>
  <c r="JO63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JT63" i="6" l="1"/>
  <c r="JJ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U45" i="6"/>
  <c r="IX45" i="6" s="1"/>
  <c r="IW44" i="6"/>
  <c r="IW43" i="6"/>
  <c r="IX43" i="6" s="1"/>
  <c r="IX42" i="6"/>
  <c r="IX41" i="6"/>
  <c r="IW40" i="6"/>
  <c r="IX40" i="6" s="1"/>
  <c r="IW39" i="6"/>
  <c r="IX39" i="6" s="1"/>
  <c r="IW38" i="6"/>
  <c r="IX38" i="6" s="1"/>
  <c r="IX37" i="6"/>
  <c r="IW36" i="6"/>
  <c r="IX36" i="6" s="1"/>
  <c r="IW35" i="6"/>
  <c r="IX35" i="6" s="1"/>
  <c r="IW34" i="6"/>
  <c r="IX34" i="6" s="1"/>
  <c r="IW33" i="6"/>
  <c r="IX33" i="6" s="1"/>
  <c r="IW32" i="6"/>
  <c r="IV32" i="6"/>
  <c r="IX31" i="6"/>
  <c r="IW30" i="6"/>
  <c r="IX30" i="6" s="1"/>
  <c r="JC26" i="6"/>
  <c r="IZ25" i="6"/>
  <c r="JC25" i="6" s="1"/>
  <c r="IZ24" i="6"/>
  <c r="JC24" i="6" s="1"/>
  <c r="IZ23" i="6"/>
  <c r="JC23" i="6" s="1"/>
  <c r="IZ22" i="6"/>
  <c r="JC22" i="6" s="1"/>
  <c r="IZ21" i="6"/>
  <c r="JC21" i="6" s="1"/>
  <c r="IZ20" i="6"/>
  <c r="JC20" i="6" s="1"/>
  <c r="IZ19" i="6"/>
  <c r="JC19" i="6" s="1"/>
  <c r="IZ18" i="6"/>
  <c r="JC18" i="6" s="1"/>
  <c r="IY17" i="6"/>
  <c r="JC17" i="6" s="1"/>
  <c r="JC16" i="6"/>
  <c r="IY15" i="6"/>
  <c r="JC15" i="6" s="1"/>
  <c r="IY14" i="6"/>
  <c r="JC14" i="6" s="1"/>
  <c r="IY13" i="6"/>
  <c r="JC13" i="6" s="1"/>
  <c r="JC12" i="6"/>
  <c r="JC11" i="6"/>
  <c r="JC10" i="6"/>
  <c r="IW9" i="6"/>
  <c r="JC9" i="6" s="1"/>
  <c r="IV9" i="6"/>
  <c r="IZ8" i="6"/>
  <c r="IY8" i="6"/>
  <c r="JC8" i="6" s="1"/>
  <c r="IZ7" i="6"/>
  <c r="IY7" i="6"/>
  <c r="JC7" i="6" s="1"/>
  <c r="IZ6" i="6"/>
  <c r="IY6" i="6"/>
  <c r="JC6" i="6" s="1"/>
  <c r="IY5" i="6"/>
  <c r="JC5" i="6" s="1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IX32" i="6" l="1"/>
  <c r="JC27" i="6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M40" i="8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K39" i="6"/>
  <c r="IL39" i="6" s="1"/>
  <c r="IK38" i="6"/>
  <c r="IL38" i="6" s="1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N23" i="6"/>
  <c r="IQ23" i="6" s="1"/>
  <c r="IN22" i="6"/>
  <c r="IQ22" i="6" s="1"/>
  <c r="IN21" i="6"/>
  <c r="IQ21" i="6" s="1"/>
  <c r="IN20" i="6"/>
  <c r="IQ20" i="6" s="1"/>
  <c r="IN19" i="6"/>
  <c r="IQ19" i="6" s="1"/>
  <c r="IN18" i="6"/>
  <c r="IQ18" i="6" s="1"/>
  <c r="IM17" i="6"/>
  <c r="IQ17" i="6" s="1"/>
  <c r="IQ16" i="6"/>
  <c r="IM15" i="6"/>
  <c r="IQ15" i="6" s="1"/>
  <c r="IM14" i="6"/>
  <c r="IQ14" i="6" s="1"/>
  <c r="IM13" i="6"/>
  <c r="IQ13" i="6" s="1"/>
  <c r="IQ12" i="6"/>
  <c r="IQ11" i="6"/>
  <c r="IQ10" i="6"/>
  <c r="IK9" i="6"/>
  <c r="IJ9" i="6"/>
  <c r="IN8" i="6"/>
  <c r="IM8" i="6"/>
  <c r="IN7" i="6"/>
  <c r="IM7" i="6"/>
  <c r="IN6" i="6"/>
  <c r="IM6" i="6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IQ9" i="6" l="1"/>
  <c r="IQ7" i="6"/>
  <c r="IQ8" i="6"/>
  <c r="IQ6" i="6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L63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40" i="6" s="1"/>
  <c r="HY39" i="6"/>
  <c r="HZ39" i="6" s="1"/>
  <c r="HY38" i="6"/>
  <c r="HZ38" i="6" s="1"/>
  <c r="HW37" i="6"/>
  <c r="HZ37" i="6" s="1"/>
  <c r="HY36" i="6"/>
  <c r="HZ36" i="6" s="1"/>
  <c r="HY35" i="6"/>
  <c r="HZ35" i="6" s="1"/>
  <c r="HY34" i="6"/>
  <c r="HZ34" i="6" s="1"/>
  <c r="HY33" i="6"/>
  <c r="HZ33" i="6" s="1"/>
  <c r="HY32" i="6"/>
  <c r="HX32" i="6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HY9" i="6"/>
  <c r="IE9" i="6" s="1"/>
  <c r="IB8" i="6"/>
  <c r="IE8" i="6" s="1"/>
  <c r="IB7" i="6"/>
  <c r="IE7" i="6"/>
  <c r="IB6" i="6"/>
  <c r="IE6" i="6" s="1"/>
  <c r="IE5" i="6"/>
  <c r="IE4" i="6"/>
  <c r="IE3" i="6"/>
  <c r="IE2" i="6"/>
  <c r="GZ9" i="6"/>
  <c r="IQ27" i="6" l="1"/>
  <c r="HZ32" i="6"/>
  <c r="H41" i="8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W43" i="8" s="1"/>
  <c r="W44" i="8" s="1"/>
  <c r="AY37" i="7"/>
  <c r="S7" i="7"/>
  <c r="GP39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K47" i="6"/>
  <c r="HN47" i="6" s="1"/>
  <c r="HK46" i="6"/>
  <c r="HK45" i="6"/>
  <c r="HN45" i="6" s="1"/>
  <c r="HM44" i="6"/>
  <c r="HN44" i="6" s="1"/>
  <c r="HM43" i="6"/>
  <c r="HN42" i="6"/>
  <c r="HM40" i="6"/>
  <c r="HN40" i="6" s="1"/>
  <c r="HM39" i="6"/>
  <c r="HN39" i="6" s="1"/>
  <c r="HM38" i="6"/>
  <c r="HN38" i="6" s="1"/>
  <c r="HK37" i="6"/>
  <c r="HN37" i="6" s="1"/>
  <c r="HM36" i="6"/>
  <c r="HN36" i="6" s="1"/>
  <c r="HM35" i="6"/>
  <c r="HM34" i="6"/>
  <c r="HN34" i="6" s="1"/>
  <c r="HM33" i="6"/>
  <c r="HN33" i="6" s="1"/>
  <c r="HM32" i="6"/>
  <c r="HL32" i="6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O15" i="6"/>
  <c r="HS15" i="6" s="1"/>
  <c r="HO14" i="6"/>
  <c r="HS14" i="6" s="1"/>
  <c r="HO13" i="6"/>
  <c r="HS13" i="6" s="1"/>
  <c r="HL12" i="6"/>
  <c r="HS12" i="6" s="1"/>
  <c r="HS11" i="6"/>
  <c r="HS10" i="6"/>
  <c r="HM9" i="6"/>
  <c r="HL9" i="6"/>
  <c r="HP8" i="6"/>
  <c r="HO8" i="6"/>
  <c r="HP7" i="6"/>
  <c r="HO7" i="6"/>
  <c r="HS7" i="6" s="1"/>
  <c r="HP6" i="6"/>
  <c r="HO6" i="6"/>
  <c r="HO5" i="6"/>
  <c r="HS5" i="6" s="1"/>
  <c r="HO4" i="6"/>
  <c r="HS4" i="6" s="1"/>
  <c r="HO3" i="6"/>
  <c r="HS3" i="6" s="1"/>
  <c r="HS2" i="6"/>
  <c r="HS9" i="6" l="1"/>
  <c r="HN32" i="6"/>
  <c r="HN63" i="6" s="1"/>
  <c r="HS6" i="6"/>
  <c r="HS8" i="6"/>
  <c r="AY38" i="7"/>
  <c r="S8" i="7"/>
  <c r="S9" i="7" s="1"/>
  <c r="HS27" i="6" l="1"/>
  <c r="HS63" i="6" s="1"/>
  <c r="HI3" i="6" s="1"/>
  <c r="AY39" i="7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 s="1"/>
  <c r="HD8" i="6"/>
  <c r="HC8" i="6"/>
  <c r="HG8" i="6" s="1"/>
  <c r="HD7" i="6"/>
  <c r="HC7" i="6"/>
  <c r="HD6" i="6"/>
  <c r="HC6" i="6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P44" i="6" s="1"/>
  <c r="GM43" i="6"/>
  <c r="GP43" i="6" s="1"/>
  <c r="GO42" i="6"/>
  <c r="GP42" i="6" s="1"/>
  <c r="GO41" i="6"/>
  <c r="GP41" i="6" s="1"/>
  <c r="GP40" i="6"/>
  <c r="GO38" i="6"/>
  <c r="GP38" i="6" s="1"/>
  <c r="GO37" i="6"/>
  <c r="GP37" i="6" s="1"/>
  <c r="GO36" i="6"/>
  <c r="GP36" i="6" s="1"/>
  <c r="GM35" i="6"/>
  <c r="GP35" i="6" s="1"/>
  <c r="GO34" i="6"/>
  <c r="GP34" i="6" s="1"/>
  <c r="GO33" i="6"/>
  <c r="GP33" i="6" s="1"/>
  <c r="GO32" i="6"/>
  <c r="GP32" i="6" s="1"/>
  <c r="GO31" i="6"/>
  <c r="GP31" i="6" s="1"/>
  <c r="GO30" i="6"/>
  <c r="GN30" i="6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R19" i="6"/>
  <c r="GU19" i="6" s="1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R7" i="6"/>
  <c r="GQ7" i="6"/>
  <c r="GU7" i="6" s="1"/>
  <c r="GR6" i="6"/>
  <c r="GQ6" i="6"/>
  <c r="GQ5" i="6"/>
  <c r="GU5" i="6" s="1"/>
  <c r="GQ4" i="6"/>
  <c r="GU4" i="6" s="1"/>
  <c r="GQ3" i="6"/>
  <c r="GU3" i="6" s="1"/>
  <c r="GU2" i="6"/>
  <c r="EH42" i="6"/>
  <c r="EF9" i="6"/>
  <c r="GU6" i="6" l="1"/>
  <c r="HB32" i="6"/>
  <c r="HB63" i="6" s="1"/>
  <c r="GU8" i="6"/>
  <c r="HG6" i="6"/>
  <c r="HG7" i="6"/>
  <c r="HG27" i="6" s="1"/>
  <c r="GP30" i="6"/>
  <c r="GP61" i="6" s="1"/>
  <c r="S24" i="7"/>
  <c r="GC14" i="6"/>
  <c r="GF26" i="6"/>
  <c r="GF27" i="6"/>
  <c r="GU25" i="6" l="1"/>
  <c r="S25" i="7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F8" i="6"/>
  <c r="GE8" i="6"/>
  <c r="GF7" i="6"/>
  <c r="GE7" i="6"/>
  <c r="GI7" i="6" s="1"/>
  <c r="GF6" i="6"/>
  <c r="GE6" i="6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T8" i="6"/>
  <c r="FS8" i="6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F44" i="6" s="1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H8" i="6"/>
  <c r="FG8" i="6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 s="1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V7" i="6"/>
  <c r="EU7" i="6"/>
  <c r="EY7" i="6" s="1"/>
  <c r="EV6" i="6"/>
  <c r="EU6" i="6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FK8" i="6" l="1"/>
  <c r="FF30" i="6"/>
  <c r="FW8" i="6"/>
  <c r="GI9" i="6"/>
  <c r="GD34" i="6"/>
  <c r="EY6" i="6"/>
  <c r="EY8" i="6"/>
  <c r="FW9" i="6"/>
  <c r="GI6" i="6"/>
  <c r="FK9" i="6"/>
  <c r="S27" i="7"/>
  <c r="S28" i="7" s="1"/>
  <c r="S29" i="7" s="1"/>
  <c r="S30" i="7" s="1"/>
  <c r="S31" i="7" s="1"/>
  <c r="FW7" i="6"/>
  <c r="FR30" i="6"/>
  <c r="FR61" i="6" s="1"/>
  <c r="GI8" i="6"/>
  <c r="EY9" i="6"/>
  <c r="ET31" i="6"/>
  <c r="ET62" i="6" s="1"/>
  <c r="GD65" i="6"/>
  <c r="FK6" i="6"/>
  <c r="FF61" i="6"/>
  <c r="GI29" i="6" l="1"/>
  <c r="GI65" i="6" s="1"/>
  <c r="FY3" i="6" s="1"/>
  <c r="FW25" i="6"/>
  <c r="FW61" i="6" s="1"/>
  <c r="FM3" i="6" s="1"/>
  <c r="EY26" i="6"/>
  <c r="EY62" i="6" s="1"/>
  <c r="EO3" i="6" s="1"/>
  <c r="FK25" i="6"/>
  <c r="S32" i="7"/>
  <c r="S33" i="7" s="1"/>
  <c r="S34" i="7" s="1"/>
  <c r="S35" i="7" s="1"/>
  <c r="S36" i="7" s="1"/>
  <c r="S37" i="7" s="1"/>
  <c r="S38" i="7" s="1"/>
  <c r="S39" i="7" s="1"/>
  <c r="S40" i="7" s="1"/>
  <c r="S54" i="7" s="1"/>
  <c r="FK61" i="6"/>
  <c r="FA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M6" i="6" s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DC58" i="6" s="1"/>
  <c r="CS3" i="6" s="1"/>
  <c r="EA26" i="6"/>
  <c r="EA60" i="6" s="1"/>
  <c r="DQ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tc={C3C13FBF-C837-E74F-9246-1F23E6D389AB}</author>
    <author>tc={003F33A5-2447-8B42-8941-904A0CD2AE41}</author>
    <author>tc={FB942D49-5E15-6842-9F92-AD7948E24899}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tc={FF4BBE81-6782-B646-B63C-D0170B7079B0}</author>
    <author>tc={91CB61FD-5E28-BC43-AEAE-7EF2328D775F}</author>
    <author>tc={CB3F12DF-753C-D04B-9F14-780259DB344B}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tc={6AF43358-F8D7-BB4F-8FE0-3FD9CF00097E}</author>
    <author>tc={D2BFA4F3-3A75-3B45-8750-1DAD624E5418}</author>
    <author>tc={8142E951-AF97-BC47-8867-FC476BA9A942}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JM5" authorId="26" shapeId="0" xr:uid="{C3C13FBF-C837-E74F-9246-1F23E6D389AB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JY5" authorId="27" shapeId="0" xr:uid="{003F33A5-2447-8B42-8941-904A0CD2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KW5" authorId="28" shapeId="0" xr:uid="{FB942D49-5E15-6842-9F92-AD7948E24899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DH6" authorId="29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30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31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32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3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4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5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6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7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8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9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40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JM6" authorId="41" shapeId="0" xr:uid="{FF4BBE81-6782-B646-B63C-D0170B7079B0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JY6" authorId="42" shapeId="0" xr:uid="{91CB61FD-5E28-BC43-AEAE-7EF2328D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KW6" authorId="43" shapeId="0" xr:uid="{CB3F12DF-753C-D04B-9F14-780259DB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DH7" authorId="44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45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6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7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8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9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50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51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52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53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54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55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JM8" authorId="56" shapeId="0" xr:uid="{6AF43358-F8D7-BB4F-8FE0-3FD9CF00097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JY8" authorId="57" shapeId="0" xr:uid="{D2BFA4F3-3A75-3B45-8750-1DAD624E541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KW8" authorId="58" shapeId="0" xr:uid="{8142E951-AF97-BC47-8867-FC476BA9A942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I11" authorId="59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60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61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62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63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64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65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66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67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68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9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<sst xmlns="http://schemas.openxmlformats.org/spreadsheetml/2006/main" count="2348" uniqueCount="223">
  <si>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</si>
  <si>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</si>
  <si>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</si>
  <si>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</si>
  <si>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</si>
  <si>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</si>
  <si>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</si>
  <si>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</si>
  <si>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</si>
  <si>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</si>
  <si>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</si>
  <si>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</si>
  <si>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</si>
  <si>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</si>
  <si>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</si>
  <si>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</si>
  <si>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</si>
  <si>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</si>
  <si>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</si>
  <si>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</si>
  <si>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</si>
  <si>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</si>
  <si>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</si>
  <si>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</si>
  <si>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</si>
  <si>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</si>
  <si>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</si>
  <si>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</si>
  <si>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</si>
  <si>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</si>
  <si>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</si>
  <si>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</si>
  <si>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</si>
  <si>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</si>
  <si>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</si>
  <si>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</si>
  <si>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</si>
  <si>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</si>
  <si>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</si>
  <si>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</si>
  <si>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</si>
  <si>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</si>
  <si>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</si>
  <si>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</si>
  <si>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</si>
  <si>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</si>
  <si>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</si>
  <si>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</si>
  <si>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</si>
  <si>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</si>
  <si>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</si>
  <si>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</si>
  <si>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</si>
  <si>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</si>
  <si>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</si>
  <si>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</si>
  <si>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</si>
  <si>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</si>
  <si>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</si>
  <si>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</si>
  <si>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</si>
  <si>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</si>
  <si>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</si>
  <si>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</si>
  <si>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</si>
  <si>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</si>
  <si>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</si>
  <si>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</si>
  <si>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</si>
  <si>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</si>
  <si>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</si>
  <si>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</si>
  <si>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</si>
  <si>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</si>
  <si>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</si>
  <si>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</si>
  <si>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</si>
  <si>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</si>
  <si>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</si>
  <si>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</si>
  <si>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</si>
  <si>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</si>
  <si>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</si>
  <si>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</si>
  <si>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</si>
  <si>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</si>
  <si>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</si>
  <si>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</si>
  <si>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</si>
  <si>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</si>
  <si>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</si>
  <si>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</si>
  <si>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</si>
  <si>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</si>
  <si>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</si>
  <si>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</si>
  <si>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</si>
  <si>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</si>
  <si>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</si>
  <si>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</si>
  <si>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</si>
  <si>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</si>
  <si>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</si>
  <si>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</si>
  <si>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</si>
  <si>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</si>
  <si>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</si>
  <si>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</si>
  <si>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</si>
  <si>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</si>
  <si>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</si>
  <si>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</si>
  <si>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</si>
  <si>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</si>
  <si>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</si>
  <si>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</si>
  <si>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</si>
  <si>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</si>
  <si>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</si>
  <si>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</si>
  <si>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</si>
  <si>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</si>
  <si>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</si>
  <si>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</si>
  <si>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</si>
  <si>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</si>
  <si>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</si>
  <si>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</si>
  <si>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</si>
  <si>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</si>
  <si>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</si>
  <si>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</si>
  <si>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</si>
  <si>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</si>
  <si>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</si>
  <si>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</si>
  <si>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</si>
  <si>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</si>
  <si>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</si>
  <si>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</si>
  <si>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</si>
  <si>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</si>
  <si>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</si>
  <si>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</si>
  <si>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</si>
  <si>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</si>
  <si>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</si>
  <si>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</si>
  <si>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</si>
  <si>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</si>
  <si>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</si>
  <si>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</si>
  <si>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</si>
  <si>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</si>
  <si>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</si>
  <si>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</si>
  <si>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</si>
  <si>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</si>
  <si>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</si>
  <si>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</si>
  <si>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</si>
  <si>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</si>
  <si>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</si>
  <si>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</si>
  <si>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</si>
  <si>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</si>
  <si>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</si>
  <si>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</si>
  <si>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</si>
  <si>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</si>
  <si>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</si>
  <si>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</si>
  <si>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</si>
  <si>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</si>
  <si>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</si>
  <si>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</si>
  <si>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</si>
  <si>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</si>
  <si>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</si>
  <si>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</si>
  <si>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</si>
  <si>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</si>
  <si>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</si>
  <si>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</si>
  <si>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</si>
  <si>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</si>
  <si>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</si>
  <si>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</si>
  <si>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</si>
  <si>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</si>
  <si>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</si>
  <si>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</si>
  <si>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</si>
  <si>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</si>
  <si>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</si>
  <si>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</si>
  <si>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</si>
  <si>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</si>
  <si>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</si>
  <si>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</si>
  <si>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</si>
  <si>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</si>
  <si>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</si>
  <si>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</si>
  <si>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</si>
  <si>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</si>
  <si>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</si>
  <si>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</si>
  <si>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</si>
  <si>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</si>
  <si>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</si>
  <si>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</si>
  <si>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</si>
  <si>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</si>
  <si>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</si>
  <si>
    <t>FLF-3</t>
  </si>
  <si>
    <t>Belu</t>
  </si>
  <si>
    <t>차4대</t>
  </si>
  <si>
    <t>차3대+탕</t>
  </si>
  <si>
    <t>FLP-3</t>
  </si>
  <si>
    <t>셔틀</t>
  </si>
  <si>
    <t>Cleo</t>
  </si>
  <si>
    <t>6,7세 월수금 3년차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</si>
</sst>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JM5" dT="2026-01-31T15:07:25.28" personId="{2088F17F-74E5-F44D-8FBB-FEA1C486048F}" id="{C3C13FBF-C837-E74F-9246-1F23E6D389AB}">
    <text>효주 5</text>
  </threadedComment>
  <threadedComment ref="JY5" dT="2026-01-31T15:07:25.28" personId="{2088F17F-74E5-F44D-8FBB-FEA1C486048F}" id="{003F33A5-2447-8B42-8941-904A0CD2AE41}">
    <text>효주 5</text>
  </threadedComment>
  <threadedComment ref="KW5" dT="2026-01-31T15:07:25.28" personId="{2088F17F-74E5-F44D-8FBB-FEA1C486048F}" id="{FB942D49-5E15-6842-9F92-AD7948E24899}">
    <text>효주 5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JM6" dT="2026-01-31T15:07:40.08" personId="{2088F17F-74E5-F44D-8FBB-FEA1C486048F}" id="{FF4BBE81-6782-B646-B63C-D0170B7079B0}">
    <text>은우 5 주아 5</text>
  </threadedComment>
  <threadedComment ref="JY6" dT="2026-01-31T15:07:40.08" personId="{2088F17F-74E5-F44D-8FBB-FEA1C486048F}" id="{91CB61FD-5E28-BC43-AEAE-7EF2328D775F}">
    <text>은우 5 주아 5</text>
  </threadedComment>
  <threadedComment ref="KW6" dT="2026-01-31T15:07:40.08" personId="{2088F17F-74E5-F44D-8FBB-FEA1C486048F}" id="{CB3F12DF-753C-D04B-9F14-780259DB344B}">
    <text>은우 5 주아 5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JM8" dT="2026-01-31T15:07:58.60" personId="{2088F17F-74E5-F44D-8FBB-FEA1C486048F}" id="{6AF43358-F8D7-BB4F-8FE0-3FD9CF00097E}">
    <text>윤하 20</text>
  </threadedComment>
  <threadedComment ref="JY8" dT="2026-01-31T15:07:58.60" personId="{2088F17F-74E5-F44D-8FBB-FEA1C486048F}" id="{D2BFA4F3-3A75-3B45-8750-1DAD624E5418}">
    <text>윤하 20</text>
  </threadedComment>
  <threadedComment ref="KW8" dT="2026-01-31T15:07:58.60" personId="{2088F17F-74E5-F44D-8FBB-FEA1C486048F}" id="{8142E951-AF97-BC47-8867-FC476BA9A942}">
    <text>윤하 20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tabSelected="1" zoomScale="125" zoomScaleNormal="55" workbookViewId="0">
      <pane xSplit="2" ySplit="1" topLeftCell="AX13" activePane="bottomRight" state="frozen"/>
      <selection activeCell="K40" sqref="K40"/>
      <selection pane="topRight" activeCell="K40" sqref="K40"/>
      <selection pane="bottomLeft" activeCell="K40" sqref="K40"/>
      <selection pane="bottomRight" activeCell="BE35" sqref="BE35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hidden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3" width="13.1640625" style="4" customWidth="1"/>
    <col min="34" max="34" width="12.5" style="4" bestFit="1" customWidth="1"/>
    <col min="35" max="35" width="14" style="4" bestFit="1" customWidth="1"/>
    <col min="36" max="36" width="13.1640625" style="4" hidden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6" width="12" style="4" hidden="1" customWidth="1"/>
    <col min="47" max="47" width="13.1640625" style="4" bestFit="1" customWidth="1"/>
    <col min="48" max="48" width="12" style="4" hidden="1" customWidth="1"/>
    <col min="49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60" width="13.1640625" style="4" customWidth="1"/>
    <col min="61" max="61" width="12.5" style="4" bestFit="1" customWidth="1"/>
    <col min="62" max="62" width="12.5" style="4" hidden="1" customWidth="1"/>
    <col min="63" max="63" width="11.33203125" style="4" bestFit="1" customWidth="1"/>
    <col min="64" max="64" width="13.1640625" style="4" hidden="1" customWidth="1"/>
    <col min="65" max="65" width="11.33203125" style="4" hidden="1" customWidth="1"/>
    <col min="66" max="66" width="13.1640625" style="4" bestFit="1" customWidth="1"/>
    <col min="67" max="67" width="13.1640625" style="4" hidden="1" customWidth="1"/>
    <col min="68" max="68" width="12" style="4" hidden="1" customWidth="1"/>
    <col min="69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103554630</v>
      </c>
      <c r="H31" s="4">
        <f t="shared" si="1"/>
        <v>95426815</v>
      </c>
      <c r="I31" s="4">
        <f t="shared" si="12"/>
        <v>8127815</v>
      </c>
      <c r="J31" s="4">
        <f t="shared" si="22"/>
        <v>38717801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8400000</v>
      </c>
      <c r="S31" s="4">
        <f t="shared" si="8"/>
        <v>0</v>
      </c>
      <c r="T31" s="4">
        <f t="shared" si="23"/>
        <v>98552268</v>
      </c>
      <c r="U31" s="4">
        <f t="shared" si="9"/>
        <v>90728321</v>
      </c>
      <c r="V31" s="4">
        <f t="shared" si="16"/>
        <v>7823947</v>
      </c>
      <c r="W31" s="4">
        <f t="shared" si="17"/>
        <v>34395357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</f>
        <v>11200000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33323237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28245487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21327476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10522192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23623549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15802565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60366197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27566299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36869778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12865527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59184369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38268055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43239882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24697784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46432513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35163350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 t="shared" ref="AU39:AU44" si="32"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68910888</v>
      </c>
      <c r="H40" s="4">
        <f t="shared" si="1"/>
        <v>97790381</v>
      </c>
      <c r="I40" s="4">
        <f t="shared" si="12"/>
        <v>-28879493</v>
      </c>
      <c r="J40" s="4">
        <f t="shared" si="22"/>
        <v>17553020</v>
      </c>
      <c r="K40" s="4">
        <f t="shared" si="2"/>
        <v>72510888</v>
      </c>
      <c r="L40" s="4">
        <f t="shared" si="3"/>
        <v>65419266</v>
      </c>
      <c r="M40" s="4">
        <f t="shared" si="13"/>
        <v>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-25279493</v>
      </c>
      <c r="R40" s="4">
        <f t="shared" si="7"/>
        <v>1400000</v>
      </c>
      <c r="S40" s="4">
        <f t="shared" si="8"/>
        <v>0</v>
      </c>
      <c r="T40" s="4">
        <f t="shared" si="23"/>
        <v>67681315</v>
      </c>
      <c r="U40" s="4">
        <f t="shared" si="9"/>
        <v>89629975</v>
      </c>
      <c r="V40" s="4">
        <f t="shared" si="16"/>
        <v>-21948660</v>
      </c>
      <c r="W40" s="4">
        <f t="shared" si="17"/>
        <v>13214690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</f>
        <v>5000000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 t="shared" si="32"/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3">G41-H41</f>
        <v>7963505</v>
      </c>
      <c r="J41" s="4">
        <f t="shared" ref="J41" si="34">J40+G41-H41</f>
        <v>25516525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5">SUM(AA41:AG41)</f>
        <v>92177532</v>
      </c>
      <c r="U41" s="4">
        <f t="shared" si="9"/>
        <v>90241875</v>
      </c>
      <c r="V41" s="4">
        <f t="shared" ref="V41" si="36">T41-U41</f>
        <v>1935657</v>
      </c>
      <c r="W41" s="4">
        <f t="shared" ref="W41" si="37">W40+T41-U41</f>
        <v>15150347</v>
      </c>
      <c r="X41" s="4">
        <f t="shared" si="18"/>
        <v>90177532</v>
      </c>
      <c r="Y41" s="4">
        <f t="shared" si="10"/>
        <v>90241875</v>
      </c>
      <c r="Z41" s="4">
        <f t="shared" ref="Z41" si="38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 t="shared" si="32"/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9">SUM(BC41:BH41)</f>
        <v>9364334</v>
      </c>
      <c r="BA41" s="4">
        <f t="shared" si="11"/>
        <v>3336486</v>
      </c>
      <c r="BB41" s="4">
        <f t="shared" ref="BB41" si="40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1">T42+AZ42</f>
        <v>101473359</v>
      </c>
      <c r="H42" s="4">
        <f t="shared" ref="H42" si="42">U42+BA42</f>
        <v>85530857</v>
      </c>
      <c r="I42" s="4">
        <f t="shared" ref="I42" si="43">G42-H42</f>
        <v>15942502</v>
      </c>
      <c r="J42" s="4">
        <f t="shared" ref="J42" si="44">J41+G42-H42</f>
        <v>41459027</v>
      </c>
      <c r="K42" s="4">
        <f t="shared" ref="K42" si="45">SUM(AB42,AD42,AF42,AG42,BD42,BG42,BH42)</f>
        <v>103543359</v>
      </c>
      <c r="L42" s="4">
        <f t="shared" ref="L42" si="46">SUM(AB42-AH42+BD42-BI42)</f>
        <v>88610359</v>
      </c>
      <c r="M42" s="4">
        <f t="shared" ref="M42" si="47">SUM(AD42,AG42,BF42,BH42)</f>
        <v>3763000</v>
      </c>
      <c r="N42" s="4">
        <f t="shared" ref="N42" si="48">SUM(AH42:AY42)+SUM(BI42:BR42)</f>
        <v>85530857</v>
      </c>
      <c r="O42" s="4">
        <f t="shared" ref="O42" si="49">SUM(AI42,AL42,AM42,AO42:AQ42,AU42:AX42,BK42:BN42,BP42:BQ42)</f>
        <v>81030144</v>
      </c>
      <c r="P42" s="4">
        <f t="shared" ref="P42" si="50">SUM(AJ42:AK42,AN42,AY42+BJ42,BR42,BO42,AR42:AT42)</f>
        <v>4500713</v>
      </c>
      <c r="Q42" s="4">
        <f t="shared" ref="Q42" si="51">K42-N42</f>
        <v>18012502</v>
      </c>
      <c r="R42" s="4">
        <f t="shared" ref="R42" si="52">AC42+BC42</f>
        <v>9100000</v>
      </c>
      <c r="S42" s="4">
        <f t="shared" ref="S42" si="53">AE42+BE42</f>
        <v>0</v>
      </c>
      <c r="T42" s="4">
        <f t="shared" ref="T42" si="54">SUM(AA42:AG42)</f>
        <v>103780533</v>
      </c>
      <c r="U42" s="4">
        <f t="shared" ref="U42" si="55">SUM(AH42:AY42)</f>
        <v>79188608</v>
      </c>
      <c r="V42" s="4">
        <f t="shared" ref="V42" si="56">T42-U42</f>
        <v>24591925</v>
      </c>
      <c r="W42" s="4">
        <f t="shared" ref="W42" si="57">W41+T42-U42</f>
        <v>39742272</v>
      </c>
      <c r="X42" s="4">
        <f t="shared" ref="X42" si="58">AB42+AF42+AG42</f>
        <v>84510533</v>
      </c>
      <c r="Y42" s="4">
        <f t="shared" ref="Y42" si="59">SUM(AH42:AY42)</f>
        <v>79188608</v>
      </c>
      <c r="Z42" s="4">
        <f t="shared" ref="Z42" si="60">X42-Y42</f>
        <v>5321925</v>
      </c>
      <c r="AA42" s="4">
        <v>0</v>
      </c>
      <c r="AB42" s="4">
        <v>80747533</v>
      </c>
      <c r="AC42" s="4">
        <f>11000000+100000-3000000</f>
        <v>8100000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 t="shared" si="32"/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1">SUM(BC42:BH42)</f>
        <v>-2307174</v>
      </c>
      <c r="BA42" s="4">
        <f t="shared" ref="BA42" si="62">SUM(BI42:BR42)</f>
        <v>6342249</v>
      </c>
      <c r="BB42" s="4">
        <f t="shared" ref="BB42" si="63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4">T43+AZ43</f>
        <v>84665214</v>
      </c>
      <c r="H43" s="4">
        <f t="shared" ref="H43" si="65">U43+BA43</f>
        <v>92346889</v>
      </c>
      <c r="I43" s="4">
        <f t="shared" ref="I43" si="66">G43-H43</f>
        <v>-7681675</v>
      </c>
      <c r="J43" s="4">
        <f t="shared" ref="J43" si="67">J42+G43-H43</f>
        <v>33777352</v>
      </c>
      <c r="K43" s="4">
        <f t="shared" ref="K43" si="68">SUM(AB43,AD43,AF43,AG43,BD43,BG43,BH43)</f>
        <v>84731214</v>
      </c>
      <c r="L43" s="4">
        <f t="shared" ref="L43" si="69">SUM(AB43-AH43+BD43-BI43)</f>
        <v>77611214</v>
      </c>
      <c r="M43" s="4">
        <f t="shared" ref="M43" si="70">SUM(AD43,AG43,BF43,BH43)</f>
        <v>1857000</v>
      </c>
      <c r="N43" s="4">
        <f t="shared" ref="N43" si="71">SUM(AH43:AY43)+SUM(BI43:BR43)</f>
        <v>92346889</v>
      </c>
      <c r="O43" s="4">
        <f t="shared" ref="O43" si="72">SUM(AI43,AL43,AM43,AO43:AQ43,AU43:AX43,BK43:BN43,BP43:BQ43)</f>
        <v>81606079</v>
      </c>
      <c r="P43" s="4">
        <f t="shared" ref="P43" si="73">SUM(AJ43:AK43,AN43,AY43+BJ43,BR43,BO43,AR43:AT43)</f>
        <v>5477810</v>
      </c>
      <c r="Q43" s="4">
        <f t="shared" ref="Q43" si="74">K43-N43</f>
        <v>-7615675</v>
      </c>
      <c r="R43" s="4">
        <f t="shared" ref="R43" si="75">AC43+BC43</f>
        <v>-66000</v>
      </c>
      <c r="S43" s="4">
        <f t="shared" ref="S43" si="76">AE43+BE43</f>
        <v>0</v>
      </c>
      <c r="T43" s="4">
        <f t="shared" ref="T43" si="77">SUM(AA43:AG43)</f>
        <v>74791056</v>
      </c>
      <c r="U43" s="4">
        <f t="shared" ref="U43" si="78">SUM(AH43:AY43)</f>
        <v>83557270</v>
      </c>
      <c r="V43" s="4">
        <f t="shared" ref="V43" si="79">T43-U43</f>
        <v>-8766214</v>
      </c>
      <c r="W43" s="4">
        <f t="shared" ref="W43" si="80">W42+T43-U43</f>
        <v>30976058</v>
      </c>
      <c r="X43" s="4">
        <f t="shared" ref="X43" si="81">AB43+AF43+AG43</f>
        <v>77791056</v>
      </c>
      <c r="Y43" s="4">
        <f t="shared" ref="Y43" si="82">SUM(AH43:AY43)</f>
        <v>83557270</v>
      </c>
      <c r="Z43" s="4">
        <f t="shared" ref="Z43" si="83">X43-Y43</f>
        <v>-5766214</v>
      </c>
      <c r="AA43" s="4">
        <v>0</v>
      </c>
      <c r="AB43" s="4">
        <f>10444825+8250272+6771215+50467744</f>
        <v>75934056</v>
      </c>
      <c r="AC43" s="4">
        <f>-3000000</f>
        <v>-3000000</v>
      </c>
      <c r="AD43" s="4">
        <v>0</v>
      </c>
      <c r="AE43" s="4">
        <v>0</v>
      </c>
      <c r="AF43" s="4">
        <f>-64000000-10000000-200000-300000+64000000+10000000+200000+300000</f>
        <v>0</v>
      </c>
      <c r="AG43" s="4">
        <f>1800000+11000+46000</f>
        <v>1857000</v>
      </c>
      <c r="AH43" s="4">
        <f>800000+400000+800000+400000+400000+400000+400000+400000+800000</f>
        <v>4800000</v>
      </c>
      <c r="AI43" s="4">
        <f>165000+110000</f>
        <v>275000</v>
      </c>
      <c r="AJ43" s="4">
        <v>0</v>
      </c>
      <c r="AK43" s="4">
        <v>0</v>
      </c>
      <c r="AL43" s="4">
        <f>5520500+2640000+2200000+1705000+2750000+4090500</f>
        <v>18906000</v>
      </c>
      <c r="AM43" s="4">
        <f>90000*2+363000+770000+43353205+3548090+1977219+290100</f>
        <v>50481614</v>
      </c>
      <c r="AN43" s="4">
        <v>0</v>
      </c>
      <c r="AO43" s="4">
        <v>0</v>
      </c>
      <c r="AP43" s="4">
        <f>1298150</f>
        <v>1298150</v>
      </c>
      <c r="AQ43" s="4">
        <f>900+8720+1040</f>
        <v>10660</v>
      </c>
      <c r="AR43" s="4">
        <f>44000</f>
        <v>44000</v>
      </c>
      <c r="AS43" s="4">
        <v>0</v>
      </c>
      <c r="AT43" s="4">
        <v>0</v>
      </c>
      <c r="AU43" s="4">
        <f t="shared" si="32"/>
        <v>583000</v>
      </c>
      <c r="AV43" s="4">
        <v>0</v>
      </c>
      <c r="AW43" s="4">
        <f>4516128</f>
        <v>4516128</v>
      </c>
      <c r="AX43" s="4">
        <f>114722+8920+267616</f>
        <v>391258</v>
      </c>
      <c r="AY43" s="4">
        <f>35210+22000+41800+22000+1155000+463100+14000+250750+160600+14340+72660</f>
        <v>2251460</v>
      </c>
      <c r="AZ43" s="4">
        <f t="shared" ref="AZ43" si="84">SUM(BC43:BH43)</f>
        <v>9874158</v>
      </c>
      <c r="BA43" s="4">
        <f t="shared" ref="BA43" si="85">SUM(BI43:BR43)</f>
        <v>8789619</v>
      </c>
      <c r="BB43" s="4">
        <f t="shared" ref="BB43" si="86">BB42+AZ43-BA43</f>
        <v>2801294</v>
      </c>
      <c r="BC43" s="4">
        <f>2934000</f>
        <v>2934000</v>
      </c>
      <c r="BD43" s="4">
        <f>2136260+4246923+388252+168723</f>
        <v>6940158</v>
      </c>
      <c r="BE43" s="4">
        <v>0</v>
      </c>
      <c r="BF43" s="4">
        <v>0</v>
      </c>
      <c r="BG43" s="4">
        <f>-1000000+1000000</f>
        <v>0</v>
      </c>
      <c r="BH43" s="4">
        <v>0</v>
      </c>
      <c r="BI43" s="4">
        <f>400000+63000</f>
        <v>463000</v>
      </c>
      <c r="BJ43" s="6">
        <v>0</v>
      </c>
      <c r="BK43" s="4">
        <f>165616</f>
        <v>165616</v>
      </c>
      <c r="BL43" s="4">
        <v>0</v>
      </c>
      <c r="BM43" s="4">
        <v>0</v>
      </c>
      <c r="BN43" s="6">
        <f>292000+40000+71440+49400+9000+689000+571000+144000+1529840+260000+200900</f>
        <v>3856580</v>
      </c>
      <c r="BO43" s="4">
        <v>0</v>
      </c>
      <c r="BP43" s="4">
        <v>0</v>
      </c>
      <c r="BQ43" s="4">
        <f>896832+225241</f>
        <v>1122073</v>
      </c>
      <c r="BR43" s="4">
        <f>2934000+48350+200000</f>
        <v>3182350</v>
      </c>
    </row>
    <row r="44" spans="1:70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7">T44+AZ44</f>
        <v>93921695</v>
      </c>
      <c r="H44" s="4">
        <f t="shared" ref="H44" si="88">U44+BA44</f>
        <v>92571714</v>
      </c>
      <c r="I44" s="4">
        <f t="shared" ref="I44" si="89">G44-H44</f>
        <v>1349981</v>
      </c>
      <c r="J44" s="4">
        <f t="shared" ref="J44" si="90">J43+G44-H44</f>
        <v>35127333</v>
      </c>
      <c r="K44" s="4">
        <f t="shared" ref="K44" si="91">SUM(AB44,AD44,AF44,AG44,BD44,BG44,BH44)</f>
        <v>93921695</v>
      </c>
      <c r="L44" s="4">
        <f t="shared" ref="L44" si="92">SUM(AB44-AH44+BD44-BI44)</f>
        <v>86235783</v>
      </c>
      <c r="M44" s="4">
        <f t="shared" ref="M44" si="93">SUM(AD44,AG44,BF44,BH44)</f>
        <v>3311712</v>
      </c>
      <c r="N44" s="4">
        <f t="shared" ref="N44" si="94">SUM(AH44:AY44)+SUM(BI44:BR44)</f>
        <v>92571714</v>
      </c>
      <c r="O44" s="4">
        <f t="shared" ref="O44" si="95">SUM(AI44,AL44,AM44,AO44:AQ44,AU44:AX44,BK44:BN44,BP44:BQ44)</f>
        <v>81959044</v>
      </c>
      <c r="P44" s="4">
        <f t="shared" ref="P44" si="96">SUM(AJ44:AK44,AN44,AY44+BJ44,BR44,BO44,AR44:AT44)</f>
        <v>6238470</v>
      </c>
      <c r="Q44" s="4">
        <f t="shared" ref="Q44" si="97">K44-N44</f>
        <v>1349981</v>
      </c>
      <c r="R44" s="4">
        <f t="shared" ref="R44" si="98">AC44+BC44</f>
        <v>0</v>
      </c>
      <c r="S44" s="4">
        <f t="shared" ref="S44" si="99">AE44+BE44</f>
        <v>0</v>
      </c>
      <c r="T44" s="4">
        <f t="shared" ref="T44" si="100">SUM(AA44:AG44)</f>
        <v>86406109</v>
      </c>
      <c r="U44" s="4">
        <f t="shared" ref="U44" si="101">SUM(AH44:AY44)</f>
        <v>87091201</v>
      </c>
      <c r="V44" s="4">
        <f t="shared" ref="V44" si="102">T44-U44</f>
        <v>-685092</v>
      </c>
      <c r="W44" s="4">
        <f t="shared" ref="W44" si="103">W43+T44-U44</f>
        <v>30290966</v>
      </c>
      <c r="X44" s="4">
        <f t="shared" ref="X44" si="104">AB44+AF44+AG44</f>
        <v>86406109</v>
      </c>
      <c r="Y44" s="4">
        <f t="shared" ref="Y44" si="105">SUM(AH44:AY44)</f>
        <v>87091201</v>
      </c>
      <c r="Z44" s="4">
        <f t="shared" ref="Z44" si="106">X44-Y44</f>
        <v>-685092</v>
      </c>
      <c r="AA44" s="4">
        <v>0</v>
      </c>
      <c r="AB44" s="4">
        <f>41926397+590135+3561650+37017924</f>
        <v>83096106</v>
      </c>
      <c r="AC44" s="4">
        <v>0</v>
      </c>
      <c r="AD44" s="4">
        <v>0</v>
      </c>
      <c r="AE44" s="4">
        <v>0</v>
      </c>
      <c r="AF44" s="4">
        <f>-30000000-30000000-2000000-1000000-2000000-2000000-6000000-1000000-3000000-300000-300000+30000000+30000000+2000000+1000000+2000000+2000000+6000000+4000000+300000+300000</f>
        <v>0</v>
      </c>
      <c r="AG44" s="4">
        <f>6408+1500000+1800000+3473+72+50</f>
        <v>3310003</v>
      </c>
      <c r="AH44" s="4">
        <f>56200+400000+800000+400000+168000+800000+400000+800000+129000+168000</f>
        <v>4121200</v>
      </c>
      <c r="AI44" s="4">
        <f>165000+270000+110000</f>
        <v>545000</v>
      </c>
      <c r="AJ44" s="4">
        <v>0</v>
      </c>
      <c r="AK44" s="4">
        <f>500000</f>
        <v>500000</v>
      </c>
      <c r="AL44" s="4">
        <f>550000+2640000+820000+1705000+5170000+1100000</f>
        <v>11985000</v>
      </c>
      <c r="AM44" s="4">
        <f>360000+363000+770000+41341818+3478590+936471+586647+1985593+185570+293323</f>
        <v>50301012</v>
      </c>
      <c r="AN44" s="4">
        <f>3900000</f>
        <v>3900000</v>
      </c>
      <c r="AO44" s="4">
        <f>4508570</f>
        <v>4508570</v>
      </c>
      <c r="AP44" s="4">
        <f>1241210</f>
        <v>1241210</v>
      </c>
      <c r="AQ44" s="4">
        <f>83360+1883990+75360+64890+6080+112900+1982240+74620</f>
        <v>4283440</v>
      </c>
      <c r="AR44" s="4">
        <v>0</v>
      </c>
      <c r="AS44" s="4">
        <v>0</v>
      </c>
      <c r="AT44" s="4">
        <v>0</v>
      </c>
      <c r="AU44" s="4">
        <f t="shared" si="32"/>
        <v>583000</v>
      </c>
      <c r="AV44" s="4">
        <v>0</v>
      </c>
      <c r="AW44" s="4">
        <f>2943752</f>
        <v>2943752</v>
      </c>
      <c r="AX44" s="4">
        <f>112931+267616</f>
        <v>380547</v>
      </c>
      <c r="AY44" s="4">
        <f>35210+22000+41800+250750+360000+130000+22000+385000+251710+300000</f>
        <v>1798470</v>
      </c>
      <c r="AZ44" s="4">
        <f t="shared" ref="AZ44" si="107">SUM(BC44:BH44)</f>
        <v>7515586</v>
      </c>
      <c r="BA44" s="4">
        <f t="shared" ref="BA44" si="108">SUM(BI44:BR44)</f>
        <v>5480513</v>
      </c>
      <c r="BB44" s="4">
        <f t="shared" ref="BB44" si="109">BB43+AZ44-BA44</f>
        <v>4836367</v>
      </c>
      <c r="BC44" s="4">
        <v>0</v>
      </c>
      <c r="BD44" s="4">
        <f>4325754+2462539+556438+169146</f>
        <v>7513877</v>
      </c>
      <c r="BE44" s="4">
        <v>0</v>
      </c>
      <c r="BF44" s="4">
        <v>0</v>
      </c>
      <c r="BG44" s="4">
        <f>-1000000+1000000</f>
        <v>0</v>
      </c>
      <c r="BH44" s="4">
        <f>1518+191</f>
        <v>1709</v>
      </c>
      <c r="BI44" s="4">
        <f>250000+3000</f>
        <v>253000</v>
      </c>
      <c r="BJ44" s="6">
        <v>0</v>
      </c>
      <c r="BK44" s="4">
        <f>160273</f>
        <v>160273</v>
      </c>
      <c r="BL44" s="4">
        <v>0</v>
      </c>
      <c r="BM44" s="4">
        <v>0</v>
      </c>
      <c r="BN44" s="6">
        <f>296500+438000+64600+48000+571000+260000+296500+1408000</f>
        <v>3382600</v>
      </c>
      <c r="BO44" s="4">
        <v>0</v>
      </c>
      <c r="BP44" s="4">
        <v>0</v>
      </c>
      <c r="BQ44" s="4">
        <f>1418522+226118</f>
        <v>1644640</v>
      </c>
      <c r="BR44" s="4">
        <f>40000</f>
        <v>40000</v>
      </c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LD65"/>
  <sheetViews>
    <sheetView topLeftCell="KM1" zoomScaleNormal="120" workbookViewId="0">
      <selection activeCell="LG17" sqref="LG17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  <col min="271" max="271" width="14.5" bestFit="1" customWidth="1"/>
    <col min="283" max="283" width="14.5" bestFit="1" customWidth="1"/>
    <col min="295" max="295" width="14.5" bestFit="1" customWidth="1"/>
    <col min="307" max="307" width="14.5" bestFit="1" customWidth="1"/>
    <col min="308" max="308" width="13.6640625" customWidth="1"/>
  </cols>
  <sheetData>
    <row r="1" spans="1:316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  <c r="JJ1" t="s">
        <v>193</v>
      </c>
      <c r="JK1" t="s">
        <v>0</v>
      </c>
      <c r="JL1" t="s">
        <v>4</v>
      </c>
      <c r="JM1" t="s">
        <v>3</v>
      </c>
      <c r="JN1" t="s">
        <v>2</v>
      </c>
      <c r="JO1" t="s">
        <v>5</v>
      </c>
      <c r="JP1" t="s">
        <v>25</v>
      </c>
      <c r="JQ1" t="s">
        <v>26</v>
      </c>
      <c r="JR1" t="s">
        <v>6</v>
      </c>
      <c r="JS1" t="s">
        <v>7</v>
      </c>
      <c r="JT1" t="s">
        <v>12</v>
      </c>
      <c r="JV1" t="s">
        <v>193</v>
      </c>
      <c r="JW1" t="s">
        <v>0</v>
      </c>
      <c r="JX1" t="s">
        <v>4</v>
      </c>
      <c r="JY1" t="s">
        <v>3</v>
      </c>
      <c r="JZ1" t="s">
        <v>2</v>
      </c>
      <c r="KA1" t="s">
        <v>5</v>
      </c>
      <c r="KB1" t="s">
        <v>25</v>
      </c>
      <c r="KC1" t="s">
        <v>26</v>
      </c>
      <c r="KD1" t="s">
        <v>6</v>
      </c>
      <c r="KE1" t="s">
        <v>7</v>
      </c>
      <c r="KF1" t="s">
        <v>12</v>
      </c>
      <c r="KH1" t="s">
        <v>193</v>
      </c>
      <c r="KI1" t="s">
        <v>0</v>
      </c>
      <c r="KJ1" t="s">
        <v>4</v>
      </c>
      <c r="KK1" t="s">
        <v>3</v>
      </c>
      <c r="KL1" t="s">
        <v>2</v>
      </c>
      <c r="KM1" t="s">
        <v>5</v>
      </c>
      <c r="KN1" t="s">
        <v>25</v>
      </c>
      <c r="KO1" t="s">
        <v>26</v>
      </c>
      <c r="KP1" t="s">
        <v>6</v>
      </c>
      <c r="KQ1" t="s">
        <v>7</v>
      </c>
      <c r="KR1" t="s">
        <v>12</v>
      </c>
      <c r="KT1" t="s">
        <v>193</v>
      </c>
      <c r="KU1" t="s">
        <v>0</v>
      </c>
      <c r="KV1" t="s">
        <v>4</v>
      </c>
      <c r="KW1" t="s">
        <v>3</v>
      </c>
      <c r="KX1" t="s">
        <v>2</v>
      </c>
      <c r="KY1" t="s">
        <v>5</v>
      </c>
      <c r="KZ1" t="s">
        <v>25</v>
      </c>
      <c r="LA1" t="s">
        <v>26</v>
      </c>
      <c r="LB1" t="s">
        <v>6</v>
      </c>
      <c r="LC1" t="s">
        <v>7</v>
      </c>
      <c r="LD1" t="s">
        <v>12</v>
      </c>
    </row>
    <row r="2" spans="1:316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  <c r="JJ2" t="s">
        <v>181</v>
      </c>
      <c r="JK2" t="s">
        <v>1</v>
      </c>
      <c r="JL2" s="1" t="s">
        <v>35</v>
      </c>
      <c r="JM2">
        <v>9</v>
      </c>
      <c r="JN2">
        <v>117</v>
      </c>
      <c r="JR2">
        <v>1.972</v>
      </c>
      <c r="JS2">
        <v>15</v>
      </c>
      <c r="JT2">
        <f>SUM(JN2:JS2)*JM2</f>
        <v>1205.7479999999998</v>
      </c>
      <c r="JV2" t="s">
        <v>181</v>
      </c>
      <c r="JW2" t="s">
        <v>1</v>
      </c>
      <c r="JX2" s="1" t="s">
        <v>35</v>
      </c>
      <c r="JY2">
        <v>9</v>
      </c>
      <c r="JZ2">
        <v>117</v>
      </c>
      <c r="KD2">
        <v>1.972</v>
      </c>
      <c r="KE2">
        <v>15</v>
      </c>
      <c r="KF2">
        <f>SUM(JZ2:KE2)*JY2</f>
        <v>1205.7479999999998</v>
      </c>
      <c r="KH2" t="s">
        <v>181</v>
      </c>
      <c r="KI2" t="s">
        <v>1</v>
      </c>
      <c r="KJ2" s="1" t="s">
        <v>34</v>
      </c>
      <c r="KK2">
        <v>0</v>
      </c>
      <c r="KL2">
        <v>107</v>
      </c>
      <c r="KP2">
        <v>1.972</v>
      </c>
      <c r="KQ2">
        <v>15</v>
      </c>
      <c r="KR2">
        <f>SUM(KL2:KQ2)*KK2</f>
        <v>0</v>
      </c>
      <c r="KT2" t="s">
        <v>181</v>
      </c>
      <c r="KU2" t="s">
        <v>1</v>
      </c>
      <c r="KV2" s="1" t="s">
        <v>35</v>
      </c>
      <c r="KW2">
        <v>8</v>
      </c>
      <c r="KX2">
        <v>117</v>
      </c>
      <c r="LB2">
        <v>3.98</v>
      </c>
      <c r="LC2">
        <v>15</v>
      </c>
      <c r="LD2">
        <f>SUM(KX2:LC2)*KW2</f>
        <v>1087.8400000000001</v>
      </c>
    </row>
    <row r="3" spans="1:316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  <c r="JJ3">
        <f>JT63</f>
        <v>1990.3350888888872</v>
      </c>
      <c r="JL3" s="3" t="s">
        <v>82</v>
      </c>
      <c r="JM3">
        <v>11</v>
      </c>
      <c r="JN3">
        <v>117</v>
      </c>
      <c r="JP3">
        <f>(5/12-41.384/36/12)</f>
        <v>0.32087037037037036</v>
      </c>
      <c r="JR3">
        <v>2.4180000000000001</v>
      </c>
      <c r="JS3">
        <v>15</v>
      </c>
      <c r="JT3">
        <f t="shared" ref="JT3:JT7" si="33">SUM(JN3:JS3)*JM3</f>
        <v>1482.1275740740739</v>
      </c>
      <c r="JV3">
        <f>KF63</f>
        <v>1850.3350888888872</v>
      </c>
      <c r="JX3" s="3" t="s">
        <v>82</v>
      </c>
      <c r="JY3">
        <v>11</v>
      </c>
      <c r="JZ3">
        <v>117</v>
      </c>
      <c r="KB3">
        <f>(5/12-41.384/36/12)</f>
        <v>0.32087037037037036</v>
      </c>
      <c r="KD3">
        <v>2.4180000000000001</v>
      </c>
      <c r="KE3">
        <v>15</v>
      </c>
      <c r="KF3">
        <f t="shared" ref="KF3:KF7" si="34">SUM(JZ3:KE3)*JY3</f>
        <v>1482.1275740740739</v>
      </c>
      <c r="KH3">
        <f>KR58</f>
        <v>1565.8510740740749</v>
      </c>
      <c r="KJ3" s="1" t="s">
        <v>35</v>
      </c>
      <c r="KK3">
        <v>12</v>
      </c>
      <c r="KL3">
        <v>117</v>
      </c>
      <c r="KN3">
        <f>(5/12-41.384/36/12)</f>
        <v>0.32087037037037036</v>
      </c>
      <c r="KP3">
        <v>2.4180000000000001</v>
      </c>
      <c r="KQ3">
        <v>15</v>
      </c>
      <c r="KR3">
        <f t="shared" ref="KR3:KR7" si="35">SUM(KL3:KQ3)*KK3</f>
        <v>1616.8664444444444</v>
      </c>
      <c r="KT3">
        <f>LD63</f>
        <v>1715.5517777777786</v>
      </c>
      <c r="KV3" s="3" t="s">
        <v>82</v>
      </c>
      <c r="KW3">
        <v>10</v>
      </c>
      <c r="KX3">
        <v>117</v>
      </c>
      <c r="KZ3">
        <f>(5/12-41.384/36/12)</f>
        <v>0.32087037037037036</v>
      </c>
      <c r="LB3">
        <v>4.1100000000000003</v>
      </c>
      <c r="LC3">
        <v>15</v>
      </c>
      <c r="LD3">
        <f t="shared" ref="LD3:LD7" si="36">SUM(KX3:LC3)*KW3</f>
        <v>1364.3087037037037</v>
      </c>
    </row>
    <row r="4" spans="1:316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7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8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9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40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41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42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43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4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5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6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7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  <c r="JJ4" t="s">
        <v>218</v>
      </c>
      <c r="JL4" s="3" t="s">
        <v>36</v>
      </c>
      <c r="JM4">
        <v>5</v>
      </c>
      <c r="JN4">
        <v>117</v>
      </c>
      <c r="JP4">
        <f t="shared" ref="JP4:JP8" si="48">(5/12-41.384/36/12)</f>
        <v>0.32087037037037036</v>
      </c>
      <c r="JR4">
        <v>3.0609999999999999</v>
      </c>
      <c r="JS4">
        <v>15</v>
      </c>
      <c r="JT4">
        <f t="shared" si="33"/>
        <v>676.90935185185185</v>
      </c>
      <c r="JV4" t="s">
        <v>217</v>
      </c>
      <c r="JX4" s="3" t="s">
        <v>36</v>
      </c>
      <c r="JY4">
        <v>5</v>
      </c>
      <c r="JZ4">
        <v>117</v>
      </c>
      <c r="KB4">
        <f t="shared" ref="KB4:KB8" si="49">(5/12-41.384/36/12)</f>
        <v>0.32087037037037036</v>
      </c>
      <c r="KD4">
        <v>3.0609999999999999</v>
      </c>
      <c r="KE4">
        <v>15</v>
      </c>
      <c r="KF4">
        <f t="shared" si="34"/>
        <v>676.90935185185185</v>
      </c>
      <c r="KH4" t="s">
        <v>203</v>
      </c>
      <c r="KJ4" s="3" t="s">
        <v>82</v>
      </c>
      <c r="KK4">
        <v>8</v>
      </c>
      <c r="KL4">
        <v>117</v>
      </c>
      <c r="KN4">
        <f t="shared" ref="KN4:KN8" si="50">(5/12-41.384/36/12)</f>
        <v>0.32087037037037036</v>
      </c>
      <c r="KP4">
        <v>3.0609999999999999</v>
      </c>
      <c r="KQ4">
        <v>15</v>
      </c>
      <c r="KR4">
        <f t="shared" si="35"/>
        <v>1083.0549629629629</v>
      </c>
      <c r="KT4" t="s">
        <v>218</v>
      </c>
      <c r="KV4" s="3" t="s">
        <v>36</v>
      </c>
      <c r="KW4">
        <v>5</v>
      </c>
      <c r="KX4">
        <v>117</v>
      </c>
      <c r="KZ4">
        <f t="shared" ref="KZ4:KZ8" si="51">(5/12-41.384/36/12)</f>
        <v>0.32087037037037036</v>
      </c>
      <c r="LB4">
        <v>4.1900000000000004</v>
      </c>
      <c r="LC4">
        <v>15</v>
      </c>
      <c r="LD4">
        <f t="shared" si="36"/>
        <v>682.55435185185183</v>
      </c>
    </row>
    <row r="5" spans="1:316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7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8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9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40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41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42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43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4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5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6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7"/>
        <v>0.32087037037037036</v>
      </c>
      <c r="JA5">
        <v>2.8912</v>
      </c>
      <c r="JB5">
        <v>15</v>
      </c>
      <c r="JC5">
        <f t="shared" si="32"/>
        <v>946.48449259259269</v>
      </c>
      <c r="JL5" s="1" t="s">
        <v>198</v>
      </c>
      <c r="JM5">
        <v>5</v>
      </c>
      <c r="JN5">
        <v>117</v>
      </c>
      <c r="JP5">
        <f t="shared" si="48"/>
        <v>0.32087037037037036</v>
      </c>
      <c r="JQ5">
        <f>(3-30/20/12-9/12)</f>
        <v>2.125</v>
      </c>
      <c r="JR5">
        <v>2.8912</v>
      </c>
      <c r="JS5">
        <v>15</v>
      </c>
      <c r="JT5">
        <f t="shared" si="33"/>
        <v>686.68535185185192</v>
      </c>
      <c r="JX5" s="1" t="s">
        <v>198</v>
      </c>
      <c r="JY5">
        <v>5</v>
      </c>
      <c r="JZ5">
        <v>117</v>
      </c>
      <c r="KB5">
        <f t="shared" si="49"/>
        <v>0.32087037037037036</v>
      </c>
      <c r="KC5">
        <f>(3-30/20/12-9/12)</f>
        <v>2.125</v>
      </c>
      <c r="KD5">
        <v>2.8912</v>
      </c>
      <c r="KE5">
        <v>15</v>
      </c>
      <c r="KF5">
        <f t="shared" si="34"/>
        <v>686.68535185185192</v>
      </c>
      <c r="KH5" t="s">
        <v>202</v>
      </c>
      <c r="KJ5" s="1" t="s">
        <v>198</v>
      </c>
      <c r="KK5">
        <v>5</v>
      </c>
      <c r="KL5">
        <v>117</v>
      </c>
      <c r="KN5">
        <f t="shared" si="50"/>
        <v>0.32087037037037036</v>
      </c>
      <c r="KO5">
        <f>(3-30/20/12-9/12)</f>
        <v>2.125</v>
      </c>
      <c r="KP5">
        <v>2.8912</v>
      </c>
      <c r="KQ5">
        <v>15</v>
      </c>
      <c r="KR5">
        <f t="shared" si="35"/>
        <v>686.68535185185192</v>
      </c>
      <c r="KV5" s="1" t="s">
        <v>198</v>
      </c>
      <c r="KW5">
        <v>5</v>
      </c>
      <c r="KX5">
        <v>117</v>
      </c>
      <c r="KZ5">
        <f t="shared" si="51"/>
        <v>0.32087037037037036</v>
      </c>
      <c r="LA5">
        <f>(3-30/20/12-9/12)</f>
        <v>2.125</v>
      </c>
      <c r="LB5">
        <v>4.1900000000000004</v>
      </c>
      <c r="LC5">
        <v>15</v>
      </c>
      <c r="LD5">
        <f t="shared" si="36"/>
        <v>693.17935185185183</v>
      </c>
    </row>
    <row r="6" spans="1:316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7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8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9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40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41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42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43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4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5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6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7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  <c r="JL6" s="1" t="s">
        <v>38</v>
      </c>
      <c r="JM6">
        <v>7</v>
      </c>
      <c r="JN6">
        <v>117</v>
      </c>
      <c r="JP6">
        <f t="shared" si="48"/>
        <v>0.32087037037037036</v>
      </c>
      <c r="JQ6">
        <f>(3-30/20/12-9/12)</f>
        <v>2.125</v>
      </c>
      <c r="JR6">
        <v>3.4095</v>
      </c>
      <c r="JS6">
        <v>15</v>
      </c>
      <c r="JT6">
        <f t="shared" si="33"/>
        <v>964.98759259259259</v>
      </c>
      <c r="JX6" s="1" t="s">
        <v>38</v>
      </c>
      <c r="JY6">
        <v>7</v>
      </c>
      <c r="JZ6">
        <v>117</v>
      </c>
      <c r="KB6">
        <f t="shared" si="49"/>
        <v>0.32087037037037036</v>
      </c>
      <c r="KC6">
        <f>(3-30/20/12-9/12)</f>
        <v>2.125</v>
      </c>
      <c r="KD6">
        <v>3.4095</v>
      </c>
      <c r="KE6">
        <v>15</v>
      </c>
      <c r="KF6">
        <f t="shared" si="34"/>
        <v>964.98759259259259</v>
      </c>
      <c r="KJ6" s="1" t="s">
        <v>38</v>
      </c>
      <c r="KK6">
        <v>7</v>
      </c>
      <c r="KL6">
        <v>117</v>
      </c>
      <c r="KN6">
        <f t="shared" si="50"/>
        <v>0.32087037037037036</v>
      </c>
      <c r="KO6">
        <f>(3-30/20/12-9/12)</f>
        <v>2.125</v>
      </c>
      <c r="KP6">
        <v>3.4095</v>
      </c>
      <c r="KQ6">
        <v>15</v>
      </c>
      <c r="KR6">
        <f t="shared" si="35"/>
        <v>964.98759259259259</v>
      </c>
      <c r="KV6" s="1" t="s">
        <v>38</v>
      </c>
      <c r="KW6">
        <v>7</v>
      </c>
      <c r="KX6">
        <v>117</v>
      </c>
      <c r="KZ6">
        <f t="shared" si="51"/>
        <v>0.32087037037037036</v>
      </c>
      <c r="LA6">
        <f>(3-30/20/12-9/12)</f>
        <v>2.125</v>
      </c>
      <c r="LB6">
        <v>5.72</v>
      </c>
      <c r="LC6">
        <v>15</v>
      </c>
      <c r="LD6">
        <f t="shared" si="36"/>
        <v>981.16109259259269</v>
      </c>
    </row>
    <row r="7" spans="1:316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7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8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9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40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41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42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43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4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5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6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7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  <c r="JL7" s="3" t="s">
        <v>39</v>
      </c>
      <c r="JM7">
        <v>3</v>
      </c>
      <c r="JN7">
        <v>117</v>
      </c>
      <c r="JP7">
        <f t="shared" si="48"/>
        <v>0.32087037037037036</v>
      </c>
      <c r="JQ7">
        <f>(3-30/20/12-9/12)</f>
        <v>2.125</v>
      </c>
      <c r="JR7">
        <v>4.0949999999999998</v>
      </c>
      <c r="JS7">
        <v>15</v>
      </c>
      <c r="JT7">
        <f t="shared" si="33"/>
        <v>415.62261111111115</v>
      </c>
      <c r="JX7" s="3" t="s">
        <v>39</v>
      </c>
      <c r="JY7">
        <v>3</v>
      </c>
      <c r="JZ7">
        <v>117</v>
      </c>
      <c r="KB7">
        <f t="shared" si="49"/>
        <v>0.32087037037037036</v>
      </c>
      <c r="KC7">
        <f>(3-30/20/12-9/12)</f>
        <v>2.125</v>
      </c>
      <c r="KD7">
        <v>4.0949999999999998</v>
      </c>
      <c r="KE7">
        <v>15</v>
      </c>
      <c r="KF7">
        <f t="shared" si="34"/>
        <v>415.62261111111115</v>
      </c>
      <c r="KJ7" s="3" t="s">
        <v>39</v>
      </c>
      <c r="KK7">
        <v>0</v>
      </c>
      <c r="KL7">
        <v>117</v>
      </c>
      <c r="KN7">
        <f t="shared" si="50"/>
        <v>0.32087037037037036</v>
      </c>
      <c r="KO7">
        <f>(3-30/20/12-9/12)</f>
        <v>2.125</v>
      </c>
      <c r="KP7">
        <v>4.0949999999999998</v>
      </c>
      <c r="KQ7">
        <v>15</v>
      </c>
      <c r="KR7">
        <f t="shared" si="35"/>
        <v>0</v>
      </c>
      <c r="KV7" s="3" t="s">
        <v>39</v>
      </c>
      <c r="KW7">
        <v>3</v>
      </c>
      <c r="KX7">
        <v>117</v>
      </c>
      <c r="KZ7">
        <f t="shared" si="51"/>
        <v>0.32087037037037036</v>
      </c>
      <c r="LA7">
        <f>(3-30/20/12-9/12)</f>
        <v>2.125</v>
      </c>
      <c r="LB7">
        <v>4.75</v>
      </c>
      <c r="LC7">
        <v>15</v>
      </c>
      <c r="LD7">
        <f t="shared" si="36"/>
        <v>417.58761111111107</v>
      </c>
    </row>
    <row r="8" spans="1:316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7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8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9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40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41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42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43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4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5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6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7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  <c r="JL8" s="1" t="s">
        <v>65</v>
      </c>
      <c r="JM8">
        <v>10</v>
      </c>
      <c r="JN8">
        <v>117</v>
      </c>
      <c r="JP8">
        <f t="shared" si="48"/>
        <v>0.32087037037037036</v>
      </c>
      <c r="JQ8">
        <f>(3-30/20/12-9/12)</f>
        <v>2.125</v>
      </c>
      <c r="JR8">
        <v>1.2258</v>
      </c>
      <c r="JS8">
        <v>15</v>
      </c>
      <c r="JT8">
        <f>SUM(JN8:JS8)*JM8</f>
        <v>1356.7167037037038</v>
      </c>
      <c r="JX8" s="1" t="s">
        <v>65</v>
      </c>
      <c r="JY8">
        <v>10</v>
      </c>
      <c r="JZ8">
        <v>117</v>
      </c>
      <c r="KB8">
        <f t="shared" si="49"/>
        <v>0.32087037037037036</v>
      </c>
      <c r="KC8">
        <f>(3-30/20/12-9/12)</f>
        <v>2.125</v>
      </c>
      <c r="KD8">
        <v>1.2258</v>
      </c>
      <c r="KE8">
        <v>15</v>
      </c>
      <c r="KF8">
        <f>SUM(JZ8:KE8)*JY8</f>
        <v>1356.7167037037038</v>
      </c>
      <c r="KJ8" s="1" t="s">
        <v>65</v>
      </c>
      <c r="KK8">
        <v>10</v>
      </c>
      <c r="KL8">
        <v>117</v>
      </c>
      <c r="KN8">
        <f t="shared" si="50"/>
        <v>0.32087037037037036</v>
      </c>
      <c r="KO8">
        <f>(3-30/20/12-9/12)</f>
        <v>2.125</v>
      </c>
      <c r="KP8">
        <v>1.2258</v>
      </c>
      <c r="KQ8">
        <v>15</v>
      </c>
      <c r="KR8">
        <f>SUM(KL8:KQ8)*KK8</f>
        <v>1356.7167037037038</v>
      </c>
      <c r="KV8" s="1" t="s">
        <v>65</v>
      </c>
      <c r="KW8">
        <v>9</v>
      </c>
      <c r="KX8">
        <v>117</v>
      </c>
      <c r="KZ8">
        <f t="shared" si="51"/>
        <v>0.32087037037037036</v>
      </c>
      <c r="LA8">
        <f>(3-30/20/12-9/12)</f>
        <v>2.125</v>
      </c>
      <c r="LB8">
        <v>5.35</v>
      </c>
      <c r="LC8">
        <v>15</v>
      </c>
      <c r="LD8">
        <f>SUM(KX8:LC8)*KW8</f>
        <v>1258.1628333333333</v>
      </c>
    </row>
    <row r="9" spans="1:316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  <c r="JL9" t="s">
        <v>31</v>
      </c>
      <c r="JM9">
        <v>7</v>
      </c>
      <c r="JN9">
        <f>JN7*0.05</f>
        <v>5.8500000000000005</v>
      </c>
      <c r="JT9">
        <f>-SUM(JN9:JS9)*JM9</f>
        <v>-40.950000000000003</v>
      </c>
      <c r="JX9" t="s">
        <v>31</v>
      </c>
      <c r="JY9">
        <v>7</v>
      </c>
      <c r="JZ9">
        <f>JZ7*0.05</f>
        <v>5.8500000000000005</v>
      </c>
      <c r="KF9">
        <f>-SUM(JZ9:KE9)*JY9</f>
        <v>-40.950000000000003</v>
      </c>
      <c r="KJ9" t="s">
        <v>31</v>
      </c>
      <c r="KK9">
        <v>10</v>
      </c>
      <c r="KL9">
        <f>KL7*0.05</f>
        <v>5.8500000000000005</v>
      </c>
      <c r="KR9">
        <f>-SUM(KL9:KQ9)*KK9</f>
        <v>-58.500000000000007</v>
      </c>
      <c r="KV9" t="s">
        <v>31</v>
      </c>
      <c r="KW9">
        <f>1+2+4</f>
        <v>7</v>
      </c>
      <c r="KX9">
        <f>KX7*0.05</f>
        <v>5.8500000000000005</v>
      </c>
      <c r="LD9">
        <f>-SUM(KX9:LC9)*KW9</f>
        <v>-40.950000000000003</v>
      </c>
    </row>
    <row r="10" spans="1:316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  <c r="JL10" t="s">
        <v>19</v>
      </c>
      <c r="JM10">
        <v>25</v>
      </c>
      <c r="JT10">
        <f>6*JM10</f>
        <v>150</v>
      </c>
      <c r="JX10" t="s">
        <v>19</v>
      </c>
      <c r="JY10">
        <v>25</v>
      </c>
      <c r="KF10">
        <f>6*JY10</f>
        <v>150</v>
      </c>
      <c r="KJ10" t="s">
        <v>19</v>
      </c>
      <c r="KK10">
        <v>21</v>
      </c>
      <c r="KR10">
        <f>6*KK10</f>
        <v>126</v>
      </c>
      <c r="KV10" t="s">
        <v>19</v>
      </c>
      <c r="KW10">
        <v>21.5</v>
      </c>
      <c r="LD10">
        <f>6*KW10</f>
        <v>129</v>
      </c>
    </row>
    <row r="11" spans="1:316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  <c r="JL11" t="s">
        <v>27</v>
      </c>
      <c r="JM11">
        <v>0</v>
      </c>
      <c r="JO11" s="2"/>
      <c r="JT11">
        <f>5*JM11</f>
        <v>0</v>
      </c>
      <c r="JX11" t="s">
        <v>27</v>
      </c>
      <c r="JY11">
        <v>0</v>
      </c>
      <c r="KA11" s="2"/>
      <c r="KF11">
        <f>5*JY11</f>
        <v>0</v>
      </c>
      <c r="KJ11" t="s">
        <v>27</v>
      </c>
      <c r="KK11">
        <v>5</v>
      </c>
      <c r="KM11" s="2"/>
      <c r="KR11">
        <f>5*KK11</f>
        <v>25</v>
      </c>
      <c r="KV11" t="s">
        <v>27</v>
      </c>
      <c r="KW11">
        <v>2</v>
      </c>
      <c r="KY11" s="2"/>
      <c r="LD11">
        <f>5*KW11</f>
        <v>10</v>
      </c>
    </row>
    <row r="12" spans="1:316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52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53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54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55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56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57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  <c r="JK12" t="s">
        <v>8</v>
      </c>
      <c r="JL12" t="s">
        <v>11</v>
      </c>
      <c r="JM12">
        <v>114</v>
      </c>
      <c r="JN12">
        <v>8</v>
      </c>
      <c r="JT12">
        <f>JM12*JN12-JR12</f>
        <v>912</v>
      </c>
      <c r="JW12" t="s">
        <v>8</v>
      </c>
      <c r="JX12" t="s">
        <v>11</v>
      </c>
      <c r="JY12">
        <v>114</v>
      </c>
      <c r="JZ12">
        <v>8</v>
      </c>
      <c r="KF12">
        <f>JY12*JZ12-KD12</f>
        <v>912</v>
      </c>
      <c r="KI12" t="s">
        <v>8</v>
      </c>
      <c r="KJ12" t="s">
        <v>11</v>
      </c>
      <c r="KK12">
        <v>55</v>
      </c>
      <c r="KL12">
        <v>8</v>
      </c>
      <c r="KR12">
        <f>KK12*KL12-KP12</f>
        <v>440</v>
      </c>
      <c r="KU12" t="s">
        <v>8</v>
      </c>
      <c r="KV12" t="s">
        <v>11</v>
      </c>
      <c r="KW12">
        <v>118</v>
      </c>
      <c r="KX12">
        <v>8</v>
      </c>
      <c r="LB12">
        <v>0.6</v>
      </c>
      <c r="LD12">
        <f>SUM(KX12:LC12)*KW12</f>
        <v>1014.8</v>
      </c>
    </row>
    <row r="13" spans="1:316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52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53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54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55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56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57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8">(5/12-26.9/36/12)</f>
        <v>0.35439814814814818</v>
      </c>
      <c r="DM13">
        <v>0.14666666666666667</v>
      </c>
      <c r="DO13">
        <f t="shared" ref="DO13:DO16" si="59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60">(5/12-41.384/36/12)</f>
        <v>0.32087037037037036</v>
      </c>
      <c r="DY13">
        <v>0.14666666666666667</v>
      </c>
      <c r="EA13">
        <f t="shared" ref="EA13:EA16" si="61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62">(5/12-26.9/36/12)</f>
        <v>0.35439814814814818</v>
      </c>
      <c r="EK13">
        <v>0.14666666666666667</v>
      </c>
      <c r="EM13">
        <f t="shared" ref="EM13:EM16" si="63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64">(5/12-41.384/36/12)</f>
        <v>0.32087037037037036</v>
      </c>
      <c r="EW13">
        <v>0.14666666666666667</v>
      </c>
      <c r="EY13">
        <f t="shared" ref="EY13:EY16" si="65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66">(5/12-41.384/36/12)</f>
        <v>0.32087037037037036</v>
      </c>
      <c r="FI13">
        <v>0.7</v>
      </c>
      <c r="FK13">
        <f t="shared" ref="FK13:FK15" si="67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8">(5/12-41.384/36/12)</f>
        <v>0.32087037037037036</v>
      </c>
      <c r="FU13">
        <v>0.7</v>
      </c>
      <c r="FW13">
        <f t="shared" ref="FW13:FW15" si="69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70">(5/12-41.384/36/12)</f>
        <v>0.32087037037037036</v>
      </c>
      <c r="GS13">
        <v>0.7</v>
      </c>
      <c r="GU13">
        <f t="shared" ref="GU13:GU15" si="71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72">(5/12-41.384/36/12)</f>
        <v>0.32087037037037036</v>
      </c>
      <c r="HE13">
        <v>0.7</v>
      </c>
      <c r="HG13">
        <f t="shared" ref="HG13:HG15" si="73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74">(5/12-41.384/36/12)</f>
        <v>0.32087037037037036</v>
      </c>
      <c r="HQ13">
        <v>0.7</v>
      </c>
      <c r="HS13">
        <f t="shared" ref="HS13:HS15" si="75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76">(5/12-41.384/36/12)</f>
        <v>0.32087037037037036</v>
      </c>
      <c r="IC13">
        <v>0.7</v>
      </c>
      <c r="IE13">
        <f t="shared" ref="IE13:IE15" si="77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8">(5/12-41.384/36/12)</f>
        <v>0.32087037037037036</v>
      </c>
      <c r="IO13">
        <v>0.7</v>
      </c>
      <c r="IQ13">
        <f t="shared" ref="IQ13:IQ15" si="79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80">(5/12-41.384/36/12)</f>
        <v>0.32087037037037036</v>
      </c>
      <c r="JA13">
        <v>0.7</v>
      </c>
      <c r="JC13">
        <f t="shared" ref="JC13:JC15" si="81">SUM(IW13:JB13)*IV13</f>
        <v>196.02957407407411</v>
      </c>
      <c r="JK13" t="s">
        <v>9</v>
      </c>
      <c r="JL13" t="s">
        <v>50</v>
      </c>
      <c r="JM13">
        <v>19</v>
      </c>
      <c r="JN13">
        <v>16.8</v>
      </c>
      <c r="JP13">
        <f t="shared" ref="JP13:JP15" si="82">(5/12-41.384/36/12)</f>
        <v>0.32087037037037036</v>
      </c>
      <c r="JR13">
        <v>0.7</v>
      </c>
      <c r="JT13">
        <f t="shared" ref="JT13:JT15" si="83">SUM(JN13:JS13)*JM13</f>
        <v>338.59653703703708</v>
      </c>
      <c r="JW13" t="s">
        <v>9</v>
      </c>
      <c r="JX13" t="s">
        <v>50</v>
      </c>
      <c r="JY13">
        <v>19</v>
      </c>
      <c r="JZ13">
        <v>16.8</v>
      </c>
      <c r="KB13">
        <f t="shared" ref="KB13:KB15" si="84">(5/12-41.384/36/12)</f>
        <v>0.32087037037037036</v>
      </c>
      <c r="KD13">
        <v>0.7</v>
      </c>
      <c r="KF13">
        <f t="shared" ref="KF13:KF15" si="85">SUM(JZ13:KE13)*JY13</f>
        <v>338.59653703703708</v>
      </c>
      <c r="KI13" t="s">
        <v>9</v>
      </c>
      <c r="KJ13" t="s">
        <v>50</v>
      </c>
      <c r="KK13">
        <v>12</v>
      </c>
      <c r="KL13">
        <v>16.8</v>
      </c>
      <c r="KN13">
        <f t="shared" ref="KN13:KN15" si="86">(5/12-41.384/36/12)</f>
        <v>0.32087037037037036</v>
      </c>
      <c r="KP13">
        <v>0.7</v>
      </c>
      <c r="KR13">
        <f t="shared" ref="KR13:KR15" si="87">SUM(KL13:KQ13)*KK13</f>
        <v>213.85044444444446</v>
      </c>
      <c r="KU13" t="s">
        <v>9</v>
      </c>
      <c r="KV13" t="s">
        <v>50</v>
      </c>
      <c r="KW13">
        <v>20</v>
      </c>
      <c r="KX13">
        <v>16.8</v>
      </c>
      <c r="KZ13">
        <f t="shared" ref="KZ13:KZ16" si="88">(5/12-41.384/36/12)</f>
        <v>0.32087037037037036</v>
      </c>
      <c r="LB13">
        <v>1.1299999999999999</v>
      </c>
      <c r="LD13">
        <f t="shared" ref="LD13:LD16" si="89">SUM(KX13:LC13)*KW13</f>
        <v>365.0174074074074</v>
      </c>
    </row>
    <row r="14" spans="1:316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52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53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54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55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56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57"/>
        <v>587.76499999999999</v>
      </c>
      <c r="DG14" t="s">
        <v>66</v>
      </c>
      <c r="DH14">
        <v>12</v>
      </c>
      <c r="DI14">
        <v>16.8</v>
      </c>
      <c r="DK14">
        <f t="shared" si="58"/>
        <v>0.35439814814814818</v>
      </c>
      <c r="DM14">
        <v>0.14666666666666667</v>
      </c>
      <c r="DO14">
        <f t="shared" si="59"/>
        <v>207.61277777777781</v>
      </c>
      <c r="DS14" t="s">
        <v>66</v>
      </c>
      <c r="DT14">
        <v>8</v>
      </c>
      <c r="DU14">
        <v>16.8</v>
      </c>
      <c r="DW14">
        <f t="shared" si="60"/>
        <v>0.32087037037037036</v>
      </c>
      <c r="DY14">
        <v>0.14666666666666667</v>
      </c>
      <c r="EA14">
        <f t="shared" si="61"/>
        <v>138.14029629629633</v>
      </c>
      <c r="EE14" t="s">
        <v>66</v>
      </c>
      <c r="EF14">
        <v>12</v>
      </c>
      <c r="EG14">
        <v>16.8</v>
      </c>
      <c r="EI14">
        <f t="shared" si="62"/>
        <v>0.35439814814814818</v>
      </c>
      <c r="EK14">
        <v>0.14666666666666667</v>
      </c>
      <c r="EM14">
        <f t="shared" si="63"/>
        <v>207.61277777777781</v>
      </c>
      <c r="EQ14" t="s">
        <v>66</v>
      </c>
      <c r="ER14">
        <v>5</v>
      </c>
      <c r="ES14">
        <v>16.8</v>
      </c>
      <c r="EU14">
        <f t="shared" si="64"/>
        <v>0.32087037037037036</v>
      </c>
      <c r="EW14">
        <v>0.14666666666666667</v>
      </c>
      <c r="EY14">
        <f t="shared" si="65"/>
        <v>86.337685185185208</v>
      </c>
      <c r="FC14" t="s">
        <v>102</v>
      </c>
      <c r="FD14">
        <v>16</v>
      </c>
      <c r="FE14">
        <v>25.2</v>
      </c>
      <c r="FG14">
        <f t="shared" si="66"/>
        <v>0.32087037037037036</v>
      </c>
      <c r="FI14">
        <v>1.04</v>
      </c>
      <c r="FK14">
        <f t="shared" si="67"/>
        <v>424.97392592592593</v>
      </c>
      <c r="FO14" t="s">
        <v>102</v>
      </c>
      <c r="FP14">
        <v>16</v>
      </c>
      <c r="FQ14">
        <v>25.2</v>
      </c>
      <c r="FS14">
        <f t="shared" si="68"/>
        <v>0.32087037037037036</v>
      </c>
      <c r="FU14">
        <v>1.04</v>
      </c>
      <c r="FW14">
        <f t="shared" si="69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70"/>
        <v>0.32087037037037036</v>
      </c>
      <c r="GS14">
        <v>1.04</v>
      </c>
      <c r="GU14">
        <f t="shared" si="71"/>
        <v>424.97392592592593</v>
      </c>
      <c r="GY14" t="s">
        <v>102</v>
      </c>
      <c r="GZ14">
        <v>16</v>
      </c>
      <c r="HA14">
        <v>25.2</v>
      </c>
      <c r="HC14">
        <f t="shared" si="72"/>
        <v>0.32087037037037036</v>
      </c>
      <c r="HE14">
        <v>1.04</v>
      </c>
      <c r="HG14">
        <f t="shared" si="73"/>
        <v>424.97392592592593</v>
      </c>
      <c r="HK14" t="s">
        <v>102</v>
      </c>
      <c r="HL14">
        <v>16</v>
      </c>
      <c r="HM14">
        <v>25.2</v>
      </c>
      <c r="HO14">
        <f t="shared" si="74"/>
        <v>0.32087037037037036</v>
      </c>
      <c r="HQ14">
        <v>1.04</v>
      </c>
      <c r="HS14">
        <f t="shared" si="75"/>
        <v>424.97392592592593</v>
      </c>
      <c r="HW14" t="s">
        <v>102</v>
      </c>
      <c r="HX14">
        <v>20</v>
      </c>
      <c r="HY14">
        <v>25.2</v>
      </c>
      <c r="IA14">
        <f t="shared" si="76"/>
        <v>0.32087037037037036</v>
      </c>
      <c r="IC14">
        <v>1.04</v>
      </c>
      <c r="IE14">
        <f t="shared" si="77"/>
        <v>531.21740740740745</v>
      </c>
      <c r="II14" t="s">
        <v>102</v>
      </c>
      <c r="IJ14">
        <v>24</v>
      </c>
      <c r="IK14">
        <v>25.2</v>
      </c>
      <c r="IM14">
        <f t="shared" si="78"/>
        <v>0.32087037037037036</v>
      </c>
      <c r="IO14">
        <v>1.04</v>
      </c>
      <c r="IQ14">
        <f t="shared" si="79"/>
        <v>637.46088888888892</v>
      </c>
      <c r="IU14" t="s">
        <v>102</v>
      </c>
      <c r="IV14">
        <v>36</v>
      </c>
      <c r="IW14">
        <v>25.2</v>
      </c>
      <c r="IY14">
        <f t="shared" si="80"/>
        <v>0.32087037037037036</v>
      </c>
      <c r="JA14">
        <v>1.04</v>
      </c>
      <c r="JC14">
        <f t="shared" si="81"/>
        <v>956.19133333333332</v>
      </c>
      <c r="JL14" t="s">
        <v>102</v>
      </c>
      <c r="JM14">
        <v>21</v>
      </c>
      <c r="JN14">
        <v>25.2</v>
      </c>
      <c r="JP14">
        <f t="shared" si="82"/>
        <v>0.32087037037037036</v>
      </c>
      <c r="JR14">
        <v>1.04</v>
      </c>
      <c r="JT14">
        <f t="shared" si="83"/>
        <v>557.77827777777782</v>
      </c>
      <c r="JX14" t="s">
        <v>102</v>
      </c>
      <c r="JY14">
        <v>21</v>
      </c>
      <c r="JZ14">
        <v>25.2</v>
      </c>
      <c r="KB14">
        <f t="shared" si="84"/>
        <v>0.32087037037037036</v>
      </c>
      <c r="KD14">
        <v>1.04</v>
      </c>
      <c r="KF14">
        <f t="shared" si="85"/>
        <v>557.77827777777782</v>
      </c>
      <c r="KJ14" t="s">
        <v>102</v>
      </c>
      <c r="KK14">
        <v>26</v>
      </c>
      <c r="KL14">
        <v>25.2</v>
      </c>
      <c r="KN14">
        <f t="shared" si="86"/>
        <v>0.32087037037037036</v>
      </c>
      <c r="KP14">
        <v>1.04</v>
      </c>
      <c r="KR14">
        <f t="shared" si="87"/>
        <v>690.58262962962965</v>
      </c>
      <c r="KV14" t="s">
        <v>222</v>
      </c>
      <c r="KW14">
        <v>8</v>
      </c>
      <c r="KX14">
        <v>25.2</v>
      </c>
      <c r="KZ14">
        <f t="shared" si="88"/>
        <v>0.32087037037037036</v>
      </c>
      <c r="LB14">
        <v>1.72</v>
      </c>
      <c r="LD14">
        <f t="shared" si="89"/>
        <v>217.92696296296296</v>
      </c>
    </row>
    <row r="15" spans="1:316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55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56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57"/>
        <v>26.09333333333333</v>
      </c>
      <c r="DG15" t="s">
        <v>97</v>
      </c>
      <c r="DH15">
        <v>12</v>
      </c>
      <c r="DI15">
        <v>25.2</v>
      </c>
      <c r="DK15">
        <f t="shared" si="58"/>
        <v>0.35439814814814818</v>
      </c>
      <c r="DM15">
        <v>0.35499999999999998</v>
      </c>
      <c r="DO15">
        <f t="shared" si="59"/>
        <v>310.91277777777782</v>
      </c>
      <c r="DS15" t="s">
        <v>102</v>
      </c>
      <c r="DT15">
        <v>20</v>
      </c>
      <c r="DU15">
        <v>25.2</v>
      </c>
      <c r="DW15">
        <f t="shared" si="60"/>
        <v>0.32087037037037036</v>
      </c>
      <c r="DY15">
        <v>0.35499999999999998</v>
      </c>
      <c r="EA15">
        <f t="shared" si="61"/>
        <v>517.5174074074074</v>
      </c>
      <c r="EE15" t="s">
        <v>102</v>
      </c>
      <c r="EF15">
        <v>16</v>
      </c>
      <c r="EG15">
        <v>25.2</v>
      </c>
      <c r="EI15">
        <f t="shared" si="62"/>
        <v>0.35439814814814818</v>
      </c>
      <c r="EK15">
        <v>0.35499999999999998</v>
      </c>
      <c r="EM15">
        <f t="shared" si="63"/>
        <v>414.55037037037039</v>
      </c>
      <c r="EQ15" t="s">
        <v>102</v>
      </c>
      <c r="ER15">
        <v>17</v>
      </c>
      <c r="ES15">
        <v>25.2</v>
      </c>
      <c r="EU15">
        <f t="shared" si="64"/>
        <v>0.32087037037037036</v>
      </c>
      <c r="EW15">
        <v>0.35499999999999998</v>
      </c>
      <c r="EY15">
        <f t="shared" si="65"/>
        <v>439.88979629629631</v>
      </c>
      <c r="FC15" t="s">
        <v>91</v>
      </c>
      <c r="FD15">
        <v>20</v>
      </c>
      <c r="FE15">
        <v>25.2</v>
      </c>
      <c r="FG15">
        <f t="shared" si="66"/>
        <v>0.32087037037037036</v>
      </c>
      <c r="FI15">
        <v>1.04</v>
      </c>
      <c r="FK15">
        <f t="shared" si="67"/>
        <v>531.21740740740745</v>
      </c>
      <c r="FO15" t="s">
        <v>91</v>
      </c>
      <c r="FP15">
        <v>20</v>
      </c>
      <c r="FQ15">
        <v>25.2</v>
      </c>
      <c r="FS15">
        <f t="shared" si="68"/>
        <v>0.32087037037037036</v>
      </c>
      <c r="FU15">
        <v>1.04</v>
      </c>
      <c r="FW15">
        <f t="shared" si="69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90">(5/12-41.384/36/12)</f>
        <v>0.32087037037037036</v>
      </c>
      <c r="GG15">
        <v>0.7</v>
      </c>
      <c r="GI15">
        <f t="shared" ref="GI15:GI17" si="91">SUM(GC15:GH15)*GB15</f>
        <v>196.02957407407411</v>
      </c>
      <c r="GM15" t="s">
        <v>91</v>
      </c>
      <c r="GN15">
        <v>20</v>
      </c>
      <c r="GO15">
        <v>25.2</v>
      </c>
      <c r="GQ15">
        <f t="shared" si="70"/>
        <v>0.32087037037037036</v>
      </c>
      <c r="GS15">
        <v>1.04</v>
      </c>
      <c r="GU15">
        <f t="shared" si="71"/>
        <v>531.21740740740745</v>
      </c>
      <c r="GY15" t="s">
        <v>91</v>
      </c>
      <c r="GZ15">
        <v>20</v>
      </c>
      <c r="HA15">
        <v>25.2</v>
      </c>
      <c r="HC15">
        <f t="shared" si="72"/>
        <v>0.32087037037037036</v>
      </c>
      <c r="HE15">
        <v>1.04</v>
      </c>
      <c r="HG15">
        <f t="shared" si="73"/>
        <v>531.21740740740745</v>
      </c>
      <c r="HK15" t="s">
        <v>91</v>
      </c>
      <c r="HL15">
        <v>20</v>
      </c>
      <c r="HM15">
        <v>25.2</v>
      </c>
      <c r="HO15">
        <f t="shared" si="74"/>
        <v>0.32087037037037036</v>
      </c>
      <c r="HQ15">
        <v>1.04</v>
      </c>
      <c r="HS15">
        <f t="shared" si="75"/>
        <v>531.21740740740745</v>
      </c>
      <c r="HW15" t="s">
        <v>91</v>
      </c>
      <c r="HX15">
        <v>20</v>
      </c>
      <c r="HY15">
        <v>25.2</v>
      </c>
      <c r="IA15">
        <f t="shared" si="76"/>
        <v>0.32087037037037036</v>
      </c>
      <c r="IC15">
        <v>1.04</v>
      </c>
      <c r="IE15">
        <f t="shared" si="77"/>
        <v>531.21740740740745</v>
      </c>
      <c r="II15" t="s">
        <v>91</v>
      </c>
      <c r="IJ15">
        <f>12+4</f>
        <v>16</v>
      </c>
      <c r="IK15">
        <v>25.2</v>
      </c>
      <c r="IM15">
        <f t="shared" si="78"/>
        <v>0.32087037037037036</v>
      </c>
      <c r="IO15">
        <v>1.04</v>
      </c>
      <c r="IQ15">
        <f t="shared" si="79"/>
        <v>424.97392592592593</v>
      </c>
      <c r="IU15" t="s">
        <v>91</v>
      </c>
      <c r="IW15">
        <v>25.2</v>
      </c>
      <c r="IY15">
        <f t="shared" si="80"/>
        <v>0.32087037037037036</v>
      </c>
      <c r="JA15">
        <v>1.04</v>
      </c>
      <c r="JC15">
        <f t="shared" si="81"/>
        <v>0</v>
      </c>
      <c r="JL15" t="s">
        <v>91</v>
      </c>
      <c r="JM15">
        <v>24</v>
      </c>
      <c r="JN15">
        <v>25.2</v>
      </c>
      <c r="JP15">
        <f t="shared" si="82"/>
        <v>0.32087037037037036</v>
      </c>
      <c r="JR15">
        <v>1.04</v>
      </c>
      <c r="JT15">
        <f t="shared" si="83"/>
        <v>637.46088888888892</v>
      </c>
      <c r="JX15" t="s">
        <v>91</v>
      </c>
      <c r="JY15">
        <v>24</v>
      </c>
      <c r="JZ15">
        <v>25.2</v>
      </c>
      <c r="KB15">
        <f t="shared" si="84"/>
        <v>0.32087037037037036</v>
      </c>
      <c r="KD15">
        <v>1.04</v>
      </c>
      <c r="KF15">
        <f t="shared" si="85"/>
        <v>637.46088888888892</v>
      </c>
      <c r="KJ15" t="s">
        <v>91</v>
      </c>
      <c r="KK15">
        <v>12</v>
      </c>
      <c r="KL15">
        <v>25.2</v>
      </c>
      <c r="KN15">
        <f t="shared" si="86"/>
        <v>0.32087037037037036</v>
      </c>
      <c r="KP15">
        <v>1.04</v>
      </c>
      <c r="KR15">
        <f t="shared" si="87"/>
        <v>318.73044444444446</v>
      </c>
      <c r="KV15" t="s">
        <v>102</v>
      </c>
      <c r="KW15">
        <v>12</v>
      </c>
      <c r="KX15">
        <v>25.2</v>
      </c>
      <c r="KZ15">
        <f t="shared" si="88"/>
        <v>0.32087037037037036</v>
      </c>
      <c r="LB15">
        <v>1.42</v>
      </c>
      <c r="LD15">
        <f t="shared" si="89"/>
        <v>323.29044444444446</v>
      </c>
    </row>
    <row r="16" spans="1:316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8"/>
        <v>0.35439814814814818</v>
      </c>
      <c r="DM16">
        <v>0.44666666666666671</v>
      </c>
      <c r="DO16">
        <f t="shared" si="59"/>
        <v>546.02236111111108</v>
      </c>
      <c r="DS16" t="s">
        <v>91</v>
      </c>
      <c r="DT16">
        <v>23</v>
      </c>
      <c r="DU16">
        <v>25.2</v>
      </c>
      <c r="DW16">
        <f t="shared" si="60"/>
        <v>0.32087037037037036</v>
      </c>
      <c r="DY16">
        <v>0.35499999999999998</v>
      </c>
      <c r="EA16">
        <f t="shared" si="61"/>
        <v>595.14501851851855</v>
      </c>
      <c r="EE16" t="s">
        <v>91</v>
      </c>
      <c r="EF16">
        <v>35</v>
      </c>
      <c r="EG16">
        <v>25.2</v>
      </c>
      <c r="EI16">
        <f t="shared" si="62"/>
        <v>0.35439814814814818</v>
      </c>
      <c r="EK16">
        <v>0.35499999999999998</v>
      </c>
      <c r="EM16">
        <f t="shared" si="63"/>
        <v>906.82893518518517</v>
      </c>
      <c r="EQ16" t="s">
        <v>91</v>
      </c>
      <c r="ER16">
        <v>23</v>
      </c>
      <c r="ES16">
        <v>25.2</v>
      </c>
      <c r="EU16">
        <f t="shared" si="64"/>
        <v>0.32087037037037036</v>
      </c>
      <c r="EW16">
        <v>0.35499999999999998</v>
      </c>
      <c r="EY16">
        <f t="shared" si="65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90"/>
        <v>0.32087037037037036</v>
      </c>
      <c r="GG16">
        <v>1.04</v>
      </c>
      <c r="GI16">
        <f t="shared" si="91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  <c r="JL16" t="s">
        <v>19</v>
      </c>
      <c r="JM16">
        <v>40</v>
      </c>
      <c r="JT16">
        <f>JM16*4</f>
        <v>160</v>
      </c>
      <c r="JX16" t="s">
        <v>19</v>
      </c>
      <c r="JY16">
        <v>40</v>
      </c>
      <c r="KF16">
        <f>JY16*4</f>
        <v>160</v>
      </c>
      <c r="KJ16" t="s">
        <v>19</v>
      </c>
      <c r="KK16">
        <v>32</v>
      </c>
      <c r="KR16">
        <f>KK16*4</f>
        <v>128</v>
      </c>
      <c r="KV16" t="s">
        <v>91</v>
      </c>
      <c r="KW16">
        <v>23</v>
      </c>
      <c r="KX16">
        <v>25.2</v>
      </c>
      <c r="KZ16">
        <f t="shared" si="88"/>
        <v>0.32087037037037036</v>
      </c>
      <c r="LB16">
        <v>1.22</v>
      </c>
      <c r="LD16">
        <f t="shared" si="89"/>
        <v>615.04001851851854</v>
      </c>
    </row>
    <row r="17" spans="2:316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66"/>
        <v>0.32087037037037036</v>
      </c>
      <c r="FI17">
        <v>0.4</v>
      </c>
      <c r="FK17">
        <f t="shared" ref="FK17:FK23" si="92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8"/>
        <v>0.32087037037037036</v>
      </c>
      <c r="FU17">
        <v>0.4</v>
      </c>
      <c r="FW17">
        <f t="shared" ref="FW17:FW23" si="93">SUM(FQ17:FV17)*FP17</f>
        <v>207.36696296296296</v>
      </c>
      <c r="GA17" t="s">
        <v>91</v>
      </c>
      <c r="GB17">
        <v>20</v>
      </c>
      <c r="GC17">
        <v>25.2</v>
      </c>
      <c r="GE17">
        <f t="shared" si="90"/>
        <v>0.32087037037037036</v>
      </c>
      <c r="GG17">
        <v>1.04</v>
      </c>
      <c r="GI17">
        <f t="shared" si="91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70"/>
        <v>0.32087037037037036</v>
      </c>
      <c r="GS17">
        <v>0.4</v>
      </c>
      <c r="GU17">
        <f t="shared" ref="GU17:GU23" si="94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72"/>
        <v>0.32087037037037036</v>
      </c>
      <c r="HE17">
        <v>0.4</v>
      </c>
      <c r="HG17">
        <f t="shared" ref="HG17:HG25" si="95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74"/>
        <v>0.32087037037037036</v>
      </c>
      <c r="HQ17">
        <v>0.4</v>
      </c>
      <c r="HS17">
        <f t="shared" ref="HS17:HS25" si="96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76"/>
        <v>0.32087037037037036</v>
      </c>
      <c r="IC17">
        <v>0.4</v>
      </c>
      <c r="IE17">
        <f t="shared" ref="IE17:IE25" si="97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8"/>
        <v>0.32087037037037036</v>
      </c>
      <c r="IO17">
        <v>0.4</v>
      </c>
      <c r="IQ17">
        <f t="shared" ref="IQ17:IQ25" si="98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80"/>
        <v>0.32087037037037036</v>
      </c>
      <c r="JA17">
        <v>0.4</v>
      </c>
      <c r="JC17">
        <f t="shared" ref="JC17:JC25" si="99">SUM(IW17:JB17)*IV17</f>
        <v>207.36696296296296</v>
      </c>
      <c r="JK17" t="s">
        <v>10</v>
      </c>
      <c r="JL17" t="s">
        <v>206</v>
      </c>
      <c r="JM17">
        <v>9</v>
      </c>
      <c r="JN17">
        <v>25.8</v>
      </c>
      <c r="JQ17">
        <f t="shared" ref="JQ17:JQ24" si="100">(3-30/20/12-9/12)</f>
        <v>2.125</v>
      </c>
      <c r="JR17">
        <v>0.4</v>
      </c>
      <c r="JT17">
        <f t="shared" ref="JT17:JT23" si="101">SUM(JN17:JS17)*JM17</f>
        <v>254.92499999999998</v>
      </c>
      <c r="JW17" t="s">
        <v>10</v>
      </c>
      <c r="JX17" t="s">
        <v>206</v>
      </c>
      <c r="JY17">
        <v>9</v>
      </c>
      <c r="JZ17">
        <v>25.8</v>
      </c>
      <c r="KC17">
        <f t="shared" ref="KC17:KC24" si="102">(3-30/20/12-9/12)</f>
        <v>2.125</v>
      </c>
      <c r="KD17">
        <v>0.4</v>
      </c>
      <c r="KF17">
        <f t="shared" ref="KF17:KF23" si="103">SUM(JZ17:KE17)*JY17</f>
        <v>254.92499999999998</v>
      </c>
      <c r="KI17" t="s">
        <v>10</v>
      </c>
      <c r="KJ17" t="s">
        <v>110</v>
      </c>
      <c r="KK17">
        <v>24</v>
      </c>
      <c r="KL17">
        <v>26.4</v>
      </c>
      <c r="KO17">
        <f t="shared" ref="KO17:KO23" si="104">(3-30/20/12-9/12)</f>
        <v>2.125</v>
      </c>
      <c r="KP17">
        <v>0.4</v>
      </c>
      <c r="KR17">
        <f t="shared" ref="KR17:KR23" si="105">SUM(KL17:KQ17)*KK17</f>
        <v>694.19999999999993</v>
      </c>
      <c r="KV17" t="s">
        <v>19</v>
      </c>
      <c r="KW17">
        <v>33.5</v>
      </c>
      <c r="LD17">
        <f>KW17*4</f>
        <v>134</v>
      </c>
    </row>
    <row r="18" spans="2:316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106">(5/12-26.9/36/12)</f>
        <v>0.35439814814814818</v>
      </c>
      <c r="DM18">
        <v>0.4433333333333333</v>
      </c>
      <c r="DO18">
        <f t="shared" ref="DO18:DO23" si="107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60"/>
        <v>0.32087037037037036</v>
      </c>
      <c r="DY18">
        <v>0.61</v>
      </c>
      <c r="EA18">
        <f t="shared" ref="EA18:EA24" si="108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109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64"/>
        <v>0.32087037037037036</v>
      </c>
      <c r="EW18">
        <v>0.61</v>
      </c>
      <c r="EY18">
        <f t="shared" ref="EY18:EY24" si="110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111">(3-30/20/12-9/12)</f>
        <v>2.125</v>
      </c>
      <c r="FI18">
        <v>0.6</v>
      </c>
      <c r="FK18">
        <f t="shared" si="92"/>
        <v>251.32500000000002</v>
      </c>
      <c r="FO18" t="s">
        <v>110</v>
      </c>
      <c r="FP18">
        <v>9</v>
      </c>
      <c r="FQ18">
        <v>25.2</v>
      </c>
      <c r="FT18">
        <f t="shared" ref="FT18:FT23" si="112">(3-30/20/12-9/12)</f>
        <v>2.125</v>
      </c>
      <c r="FU18">
        <v>0.6</v>
      </c>
      <c r="FW18">
        <f t="shared" si="93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113">(3-30/20/12-9/12)</f>
        <v>2.125</v>
      </c>
      <c r="GS18">
        <v>0.6</v>
      </c>
      <c r="GU18">
        <f t="shared" si="94"/>
        <v>251.32500000000002</v>
      </c>
      <c r="GY18" t="s">
        <v>110</v>
      </c>
      <c r="GZ18">
        <v>9</v>
      </c>
      <c r="HA18">
        <v>25.2</v>
      </c>
      <c r="HD18">
        <f t="shared" ref="HD18:HD25" si="114">(3-30/20/12-9/12)</f>
        <v>2.125</v>
      </c>
      <c r="HE18">
        <v>0.6</v>
      </c>
      <c r="HG18">
        <f t="shared" si="95"/>
        <v>251.32500000000002</v>
      </c>
      <c r="HK18" t="s">
        <v>110</v>
      </c>
      <c r="HL18">
        <v>9</v>
      </c>
      <c r="HM18">
        <v>25.2</v>
      </c>
      <c r="HP18">
        <f t="shared" ref="HP18:HP25" si="115">(3-30/20/12-9/12)</f>
        <v>2.125</v>
      </c>
      <c r="HQ18">
        <v>0.6</v>
      </c>
      <c r="HS18">
        <f t="shared" si="96"/>
        <v>251.32500000000002</v>
      </c>
      <c r="HW18" t="s">
        <v>110</v>
      </c>
      <c r="HX18">
        <v>9</v>
      </c>
      <c r="HY18">
        <v>25.2</v>
      </c>
      <c r="IB18">
        <f t="shared" ref="IB18:IB25" si="116">(3-30/20/12-9/12)</f>
        <v>2.125</v>
      </c>
      <c r="IC18">
        <v>0.6</v>
      </c>
      <c r="IE18">
        <f t="shared" si="97"/>
        <v>251.32500000000002</v>
      </c>
      <c r="II18" t="s">
        <v>110</v>
      </c>
      <c r="IJ18">
        <v>9</v>
      </c>
      <c r="IK18">
        <v>25.2</v>
      </c>
      <c r="IN18">
        <f t="shared" ref="IN18:IN25" si="117">(3-30/20/12-9/12)</f>
        <v>2.125</v>
      </c>
      <c r="IO18">
        <v>0.6</v>
      </c>
      <c r="IQ18">
        <f t="shared" si="98"/>
        <v>251.32500000000002</v>
      </c>
      <c r="IU18" t="s">
        <v>178</v>
      </c>
      <c r="IV18">
        <v>9</v>
      </c>
      <c r="IW18">
        <v>25.2</v>
      </c>
      <c r="IZ18">
        <f t="shared" ref="IZ18:IZ25" si="118">(3-30/20/12-9/12)</f>
        <v>2.125</v>
      </c>
      <c r="JA18">
        <v>0.6</v>
      </c>
      <c r="JC18">
        <f t="shared" si="99"/>
        <v>251.32500000000002</v>
      </c>
      <c r="JL18" t="s">
        <v>110</v>
      </c>
      <c r="JM18">
        <v>26</v>
      </c>
      <c r="JN18">
        <v>25.8</v>
      </c>
      <c r="JQ18">
        <f t="shared" si="100"/>
        <v>2.125</v>
      </c>
      <c r="JR18">
        <v>0.4</v>
      </c>
      <c r="JT18">
        <f t="shared" si="101"/>
        <v>736.44999999999993</v>
      </c>
      <c r="JX18" t="s">
        <v>110</v>
      </c>
      <c r="JY18">
        <v>26</v>
      </c>
      <c r="JZ18">
        <v>25.8</v>
      </c>
      <c r="KC18">
        <f t="shared" si="102"/>
        <v>2.125</v>
      </c>
      <c r="KD18">
        <v>0.4</v>
      </c>
      <c r="KF18">
        <f t="shared" si="103"/>
        <v>736.44999999999993</v>
      </c>
      <c r="KJ18" t="s">
        <v>178</v>
      </c>
      <c r="KK18">
        <v>8</v>
      </c>
      <c r="KL18">
        <v>26.4</v>
      </c>
      <c r="KO18">
        <f t="shared" si="104"/>
        <v>2.125</v>
      </c>
      <c r="KP18">
        <v>0.4</v>
      </c>
      <c r="KR18">
        <f t="shared" si="105"/>
        <v>231.39999999999998</v>
      </c>
      <c r="KU18" t="s">
        <v>10</v>
      </c>
      <c r="KV18" t="s">
        <v>206</v>
      </c>
      <c r="KW18">
        <v>12</v>
      </c>
      <c r="KX18">
        <v>25.8</v>
      </c>
      <c r="LA18">
        <f t="shared" ref="LA18:LA24" si="119">(3-30/20/12-9/12)</f>
        <v>2.125</v>
      </c>
      <c r="LB18">
        <v>0.23</v>
      </c>
      <c r="LD18">
        <f t="shared" ref="LD18:LD23" si="120">SUM(KX18:LC18)*KW18</f>
        <v>337.86</v>
      </c>
    </row>
    <row r="19" spans="2:316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121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107"/>
        <v>334.6</v>
      </c>
      <c r="DS19" t="s">
        <v>83</v>
      </c>
      <c r="DT19">
        <v>12</v>
      </c>
      <c r="DU19">
        <v>25.2</v>
      </c>
      <c r="DX19">
        <f t="shared" ref="DX19:DX24" si="122">(3-30/20/12-9/12)</f>
        <v>2.125</v>
      </c>
      <c r="DY19">
        <v>0.92</v>
      </c>
      <c r="EA19">
        <f t="shared" si="108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109"/>
        <v>334.6</v>
      </c>
      <c r="EQ19" t="s">
        <v>110</v>
      </c>
      <c r="ER19">
        <v>9</v>
      </c>
      <c r="ES19">
        <v>25.2</v>
      </c>
      <c r="EV19">
        <f t="shared" ref="EV19:EV24" si="123">(3-30/20/12-9/12)</f>
        <v>2.125</v>
      </c>
      <c r="EW19">
        <v>0.92</v>
      </c>
      <c r="EY19">
        <f t="shared" si="110"/>
        <v>254.20500000000001</v>
      </c>
      <c r="FC19" t="s">
        <v>84</v>
      </c>
      <c r="FD19">
        <v>5</v>
      </c>
      <c r="FE19">
        <v>25.2</v>
      </c>
      <c r="FH19">
        <f t="shared" si="111"/>
        <v>2.125</v>
      </c>
      <c r="FI19">
        <v>0.52</v>
      </c>
      <c r="FK19">
        <f t="shared" si="92"/>
        <v>139.22499999999999</v>
      </c>
      <c r="FO19" t="s">
        <v>84</v>
      </c>
      <c r="FP19">
        <v>5</v>
      </c>
      <c r="FQ19">
        <v>25.2</v>
      </c>
      <c r="FT19">
        <f t="shared" si="112"/>
        <v>2.125</v>
      </c>
      <c r="FU19">
        <v>0.52</v>
      </c>
      <c r="FW19">
        <f t="shared" si="93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90"/>
        <v>0.32087037037037036</v>
      </c>
      <c r="GG19">
        <v>0.4</v>
      </c>
      <c r="GI19">
        <f t="shared" ref="GI19:GI25" si="124">SUM(GC19:GH19)*GB19</f>
        <v>207.36696296296296</v>
      </c>
      <c r="GM19" t="s">
        <v>84</v>
      </c>
      <c r="GN19">
        <v>5</v>
      </c>
      <c r="GO19">
        <v>25.2</v>
      </c>
      <c r="GR19">
        <f t="shared" si="113"/>
        <v>2.125</v>
      </c>
      <c r="GS19">
        <v>0.52</v>
      </c>
      <c r="GU19">
        <f t="shared" si="94"/>
        <v>139.22499999999999</v>
      </c>
      <c r="GY19" t="s">
        <v>84</v>
      </c>
      <c r="GZ19">
        <v>5</v>
      </c>
      <c r="HA19">
        <v>25.2</v>
      </c>
      <c r="HD19">
        <f t="shared" si="114"/>
        <v>2.125</v>
      </c>
      <c r="HE19">
        <v>0.52</v>
      </c>
      <c r="HG19">
        <f t="shared" si="95"/>
        <v>139.22499999999999</v>
      </c>
      <c r="HK19" t="s">
        <v>84</v>
      </c>
      <c r="HL19">
        <v>0</v>
      </c>
      <c r="HM19">
        <v>25.2</v>
      </c>
      <c r="HP19">
        <f t="shared" si="115"/>
        <v>2.125</v>
      </c>
      <c r="HQ19">
        <v>0.52</v>
      </c>
      <c r="HS19">
        <f t="shared" si="96"/>
        <v>0</v>
      </c>
      <c r="HW19" t="s">
        <v>84</v>
      </c>
      <c r="HX19">
        <v>5</v>
      </c>
      <c r="HY19">
        <v>25.2</v>
      </c>
      <c r="IB19">
        <f t="shared" si="116"/>
        <v>2.125</v>
      </c>
      <c r="IC19">
        <v>0.52</v>
      </c>
      <c r="IE19">
        <f t="shared" si="97"/>
        <v>139.22499999999999</v>
      </c>
      <c r="II19" t="s">
        <v>84</v>
      </c>
      <c r="IJ19">
        <v>5</v>
      </c>
      <c r="IK19">
        <v>25.2</v>
      </c>
      <c r="IN19">
        <f t="shared" si="117"/>
        <v>2.125</v>
      </c>
      <c r="IO19">
        <v>0.52</v>
      </c>
      <c r="IQ19">
        <f t="shared" si="98"/>
        <v>139.22499999999999</v>
      </c>
      <c r="IU19" t="s">
        <v>179</v>
      </c>
      <c r="IV19">
        <v>5</v>
      </c>
      <c r="IW19">
        <v>25.2</v>
      </c>
      <c r="IZ19">
        <f t="shared" si="118"/>
        <v>2.125</v>
      </c>
      <c r="JA19">
        <v>0.52</v>
      </c>
      <c r="JC19">
        <f t="shared" si="99"/>
        <v>139.22499999999999</v>
      </c>
      <c r="JL19" t="s">
        <v>201</v>
      </c>
      <c r="JM19">
        <v>9</v>
      </c>
      <c r="JN19">
        <v>25.2</v>
      </c>
      <c r="JQ19">
        <f t="shared" si="100"/>
        <v>2.125</v>
      </c>
      <c r="JR19">
        <v>0.6</v>
      </c>
      <c r="JT19">
        <f t="shared" si="101"/>
        <v>251.32500000000002</v>
      </c>
      <c r="JX19" t="s">
        <v>201</v>
      </c>
      <c r="JY19">
        <v>9</v>
      </c>
      <c r="JZ19">
        <v>25.2</v>
      </c>
      <c r="KC19">
        <f t="shared" si="102"/>
        <v>2.125</v>
      </c>
      <c r="KD19">
        <v>0.6</v>
      </c>
      <c r="KF19">
        <f t="shared" si="103"/>
        <v>251.32500000000002</v>
      </c>
      <c r="KJ19" t="s">
        <v>201</v>
      </c>
      <c r="KK19">
        <v>12</v>
      </c>
      <c r="KL19">
        <v>25.2</v>
      </c>
      <c r="KO19">
        <f t="shared" si="104"/>
        <v>2.125</v>
      </c>
      <c r="KP19">
        <v>0.6</v>
      </c>
      <c r="KR19">
        <f t="shared" si="105"/>
        <v>335.1</v>
      </c>
      <c r="KV19" t="s">
        <v>110</v>
      </c>
      <c r="KW19">
        <v>18</v>
      </c>
      <c r="KX19">
        <v>25.8</v>
      </c>
      <c r="LA19">
        <f t="shared" si="119"/>
        <v>2.125</v>
      </c>
      <c r="LB19">
        <v>1.0900000000000001</v>
      </c>
      <c r="LD19">
        <f t="shared" si="120"/>
        <v>522.27</v>
      </c>
    </row>
    <row r="20" spans="2:316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25">SUM(BA20:BF20)*AZ20</f>
        <v>56</v>
      </c>
      <c r="BK20" t="s">
        <v>52</v>
      </c>
      <c r="BL20">
        <v>15</v>
      </c>
      <c r="BM20">
        <v>4</v>
      </c>
      <c r="BS20">
        <f t="shared" ref="BS20" si="126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107"/>
        <v>139.41666666666666</v>
      </c>
      <c r="DS20" t="s">
        <v>84</v>
      </c>
      <c r="DT20">
        <v>9</v>
      </c>
      <c r="DU20">
        <v>25.2</v>
      </c>
      <c r="DX20">
        <f t="shared" si="122"/>
        <v>2.125</v>
      </c>
      <c r="DY20">
        <v>0.86</v>
      </c>
      <c r="EA20">
        <f t="shared" si="108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109"/>
        <v>250.95</v>
      </c>
      <c r="EQ20" t="s">
        <v>84</v>
      </c>
      <c r="ER20">
        <v>8</v>
      </c>
      <c r="ES20">
        <v>25.2</v>
      </c>
      <c r="EV20">
        <f t="shared" si="123"/>
        <v>2.125</v>
      </c>
      <c r="EW20">
        <v>0.86</v>
      </c>
      <c r="EY20">
        <f t="shared" si="110"/>
        <v>225.48</v>
      </c>
      <c r="FC20" t="s">
        <v>79</v>
      </c>
      <c r="FD20">
        <v>3</v>
      </c>
      <c r="FE20">
        <v>42</v>
      </c>
      <c r="FH20">
        <f t="shared" si="111"/>
        <v>2.125</v>
      </c>
      <c r="FI20">
        <v>0.86499999999999999</v>
      </c>
      <c r="FK20">
        <f t="shared" si="92"/>
        <v>134.97</v>
      </c>
      <c r="FO20" t="s">
        <v>79</v>
      </c>
      <c r="FP20">
        <v>3</v>
      </c>
      <c r="FQ20">
        <v>42</v>
      </c>
      <c r="FT20">
        <f t="shared" si="112"/>
        <v>2.125</v>
      </c>
      <c r="FU20">
        <v>0.86499999999999999</v>
      </c>
      <c r="FW20">
        <f t="shared" si="93"/>
        <v>134.97</v>
      </c>
      <c r="GA20" t="s">
        <v>110</v>
      </c>
      <c r="GB20">
        <v>9</v>
      </c>
      <c r="GC20">
        <v>25.2</v>
      </c>
      <c r="GF20">
        <f t="shared" ref="GF20:GF27" si="127">(3-30/20/12-9/12)</f>
        <v>2.125</v>
      </c>
      <c r="GG20">
        <v>0.6</v>
      </c>
      <c r="GI20">
        <f t="shared" si="124"/>
        <v>251.32500000000002</v>
      </c>
      <c r="GM20" t="s">
        <v>79</v>
      </c>
      <c r="GN20">
        <v>3</v>
      </c>
      <c r="GO20">
        <v>42</v>
      </c>
      <c r="GR20">
        <f t="shared" si="113"/>
        <v>2.125</v>
      </c>
      <c r="GS20">
        <v>0.86499999999999999</v>
      </c>
      <c r="GU20">
        <f t="shared" si="94"/>
        <v>134.97</v>
      </c>
      <c r="GY20" t="s">
        <v>79</v>
      </c>
      <c r="GZ20">
        <v>3</v>
      </c>
      <c r="HA20">
        <v>42</v>
      </c>
      <c r="HD20">
        <f t="shared" si="114"/>
        <v>2.125</v>
      </c>
      <c r="HE20">
        <v>0.86499999999999999</v>
      </c>
      <c r="HG20">
        <f t="shared" si="95"/>
        <v>134.97</v>
      </c>
      <c r="HK20" t="s">
        <v>79</v>
      </c>
      <c r="HL20">
        <v>3</v>
      </c>
      <c r="HM20">
        <v>42</v>
      </c>
      <c r="HP20">
        <f t="shared" si="115"/>
        <v>2.125</v>
      </c>
      <c r="HQ20">
        <v>0.86499999999999999</v>
      </c>
      <c r="HS20">
        <f t="shared" si="96"/>
        <v>134.97</v>
      </c>
      <c r="HW20" t="s">
        <v>79</v>
      </c>
      <c r="HX20">
        <v>3</v>
      </c>
      <c r="HY20">
        <v>42</v>
      </c>
      <c r="IB20">
        <f t="shared" si="116"/>
        <v>2.125</v>
      </c>
      <c r="IC20">
        <v>0.86499999999999999</v>
      </c>
      <c r="IE20">
        <f t="shared" si="97"/>
        <v>134.97</v>
      </c>
      <c r="II20" t="s">
        <v>79</v>
      </c>
      <c r="IJ20">
        <v>3</v>
      </c>
      <c r="IK20">
        <v>42</v>
      </c>
      <c r="IN20">
        <f t="shared" si="117"/>
        <v>2.125</v>
      </c>
      <c r="IO20">
        <v>0.86499999999999999</v>
      </c>
      <c r="IQ20">
        <f t="shared" si="98"/>
        <v>134.97</v>
      </c>
      <c r="IU20" t="s">
        <v>79</v>
      </c>
      <c r="IV20">
        <v>5</v>
      </c>
      <c r="IW20">
        <v>42</v>
      </c>
      <c r="IZ20">
        <f t="shared" si="118"/>
        <v>2.125</v>
      </c>
      <c r="JA20">
        <v>0.86499999999999999</v>
      </c>
      <c r="JC20">
        <f t="shared" si="99"/>
        <v>224.95000000000002</v>
      </c>
      <c r="JL20" t="s">
        <v>104</v>
      </c>
      <c r="JM20">
        <v>4</v>
      </c>
      <c r="JN20">
        <v>43</v>
      </c>
      <c r="JQ20">
        <f t="shared" si="100"/>
        <v>2.125</v>
      </c>
      <c r="JR20">
        <v>0.86499999999999999</v>
      </c>
      <c r="JT20">
        <f t="shared" si="101"/>
        <v>183.96</v>
      </c>
      <c r="JX20" t="s">
        <v>104</v>
      </c>
      <c r="JY20">
        <v>4</v>
      </c>
      <c r="JZ20">
        <v>43</v>
      </c>
      <c r="KC20">
        <f t="shared" si="102"/>
        <v>2.125</v>
      </c>
      <c r="KD20">
        <v>0.86499999999999999</v>
      </c>
      <c r="KF20">
        <f t="shared" si="103"/>
        <v>183.96</v>
      </c>
      <c r="KJ20" t="s">
        <v>79</v>
      </c>
      <c r="KK20">
        <v>4</v>
      </c>
      <c r="KL20">
        <v>43</v>
      </c>
      <c r="KO20">
        <f t="shared" si="104"/>
        <v>2.125</v>
      </c>
      <c r="KP20">
        <v>0.86499999999999999</v>
      </c>
      <c r="KR20">
        <f t="shared" si="105"/>
        <v>183.96</v>
      </c>
      <c r="KV20" t="s">
        <v>201</v>
      </c>
      <c r="KW20">
        <v>11</v>
      </c>
      <c r="KX20">
        <v>25.2</v>
      </c>
      <c r="LA20">
        <f t="shared" si="119"/>
        <v>2.125</v>
      </c>
      <c r="LB20">
        <v>0.86</v>
      </c>
      <c r="LD20">
        <f t="shared" si="120"/>
        <v>310.03499999999997</v>
      </c>
    </row>
    <row r="21" spans="2:316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107"/>
        <v>314.93583333333333</v>
      </c>
      <c r="DS21" t="s">
        <v>103</v>
      </c>
      <c r="DT21">
        <v>6</v>
      </c>
      <c r="DU21">
        <v>42</v>
      </c>
      <c r="DX21">
        <f t="shared" si="122"/>
        <v>2.125</v>
      </c>
      <c r="DY21">
        <v>1.03</v>
      </c>
      <c r="EA21">
        <f t="shared" si="108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109"/>
        <v>269.94499999999999</v>
      </c>
      <c r="EQ21" t="s">
        <v>103</v>
      </c>
      <c r="ER21">
        <v>3</v>
      </c>
      <c r="ES21">
        <v>42</v>
      </c>
      <c r="EV21">
        <f t="shared" si="123"/>
        <v>2.125</v>
      </c>
      <c r="EW21">
        <v>1.03</v>
      </c>
      <c r="EY21">
        <f t="shared" si="110"/>
        <v>135.465</v>
      </c>
      <c r="FC21" t="s">
        <v>106</v>
      </c>
      <c r="FD21">
        <v>2</v>
      </c>
      <c r="FE21">
        <v>25.2</v>
      </c>
      <c r="FH21">
        <f t="shared" si="111"/>
        <v>2.125</v>
      </c>
      <c r="FI21">
        <v>0.65800000000000003</v>
      </c>
      <c r="FK21">
        <f t="shared" si="92"/>
        <v>55.966000000000001</v>
      </c>
      <c r="FO21" t="s">
        <v>106</v>
      </c>
      <c r="FP21">
        <v>2</v>
      </c>
      <c r="FQ21">
        <v>25.2</v>
      </c>
      <c r="FT21">
        <f t="shared" si="112"/>
        <v>2.125</v>
      </c>
      <c r="FU21">
        <v>0.65800000000000003</v>
      </c>
      <c r="FW21">
        <f t="shared" si="93"/>
        <v>55.966000000000001</v>
      </c>
      <c r="GA21" t="s">
        <v>84</v>
      </c>
      <c r="GB21">
        <v>5</v>
      </c>
      <c r="GC21">
        <v>25.2</v>
      </c>
      <c r="GF21">
        <f t="shared" si="127"/>
        <v>2.125</v>
      </c>
      <c r="GG21">
        <v>0.52</v>
      </c>
      <c r="GI21">
        <f t="shared" si="124"/>
        <v>139.22499999999999</v>
      </c>
      <c r="GM21" t="s">
        <v>106</v>
      </c>
      <c r="GN21">
        <v>1</v>
      </c>
      <c r="GO21">
        <v>25.2</v>
      </c>
      <c r="GR21">
        <f t="shared" si="113"/>
        <v>2.125</v>
      </c>
      <c r="GS21">
        <v>0.65800000000000003</v>
      </c>
      <c r="GU21">
        <f t="shared" si="94"/>
        <v>27.983000000000001</v>
      </c>
      <c r="GY21" t="s">
        <v>106</v>
      </c>
      <c r="GZ21">
        <v>1</v>
      </c>
      <c r="HA21">
        <v>25.2</v>
      </c>
      <c r="HD21">
        <f t="shared" si="114"/>
        <v>2.125</v>
      </c>
      <c r="HE21">
        <v>0.65800000000000003</v>
      </c>
      <c r="HG21">
        <f t="shared" si="95"/>
        <v>27.983000000000001</v>
      </c>
      <c r="HK21" t="s">
        <v>106</v>
      </c>
      <c r="HL21">
        <v>1</v>
      </c>
      <c r="HM21">
        <v>25.2</v>
      </c>
      <c r="HP21">
        <f t="shared" si="115"/>
        <v>2.125</v>
      </c>
      <c r="HQ21">
        <v>0.65800000000000003</v>
      </c>
      <c r="HS21">
        <f t="shared" si="96"/>
        <v>27.983000000000001</v>
      </c>
      <c r="HW21" t="s">
        <v>106</v>
      </c>
      <c r="HX21">
        <v>1</v>
      </c>
      <c r="HY21">
        <v>25.2</v>
      </c>
      <c r="IB21">
        <f t="shared" si="116"/>
        <v>2.125</v>
      </c>
      <c r="IC21">
        <v>0.65800000000000003</v>
      </c>
      <c r="IE21">
        <f t="shared" si="97"/>
        <v>27.983000000000001</v>
      </c>
      <c r="II21" t="s">
        <v>106</v>
      </c>
      <c r="IJ21">
        <v>1</v>
      </c>
      <c r="IK21">
        <v>25.2</v>
      </c>
      <c r="IN21">
        <f t="shared" si="117"/>
        <v>2.125</v>
      </c>
      <c r="IO21">
        <v>0.65800000000000003</v>
      </c>
      <c r="IQ21">
        <f t="shared" si="98"/>
        <v>27.983000000000001</v>
      </c>
      <c r="IU21" t="s">
        <v>106</v>
      </c>
      <c r="IV21">
        <v>1</v>
      </c>
      <c r="IW21">
        <v>25.2</v>
      </c>
      <c r="IZ21">
        <f t="shared" si="118"/>
        <v>2.125</v>
      </c>
      <c r="JA21">
        <v>0.65800000000000003</v>
      </c>
      <c r="JC21">
        <f t="shared" si="99"/>
        <v>27.983000000000001</v>
      </c>
      <c r="JL21" t="s">
        <v>207</v>
      </c>
      <c r="JM21">
        <v>3</v>
      </c>
      <c r="JN21">
        <v>43</v>
      </c>
      <c r="JQ21">
        <f t="shared" si="100"/>
        <v>2.125</v>
      </c>
      <c r="JR21">
        <v>0.44669999999999999</v>
      </c>
      <c r="JT21">
        <f t="shared" si="101"/>
        <v>136.71510000000001</v>
      </c>
      <c r="JX21" t="s">
        <v>207</v>
      </c>
      <c r="JY21">
        <v>3</v>
      </c>
      <c r="JZ21">
        <v>43</v>
      </c>
      <c r="KC21">
        <f t="shared" si="102"/>
        <v>2.125</v>
      </c>
      <c r="KD21">
        <v>0.44669999999999999</v>
      </c>
      <c r="KF21">
        <f t="shared" si="103"/>
        <v>136.71510000000001</v>
      </c>
      <c r="KJ21" t="s">
        <v>104</v>
      </c>
      <c r="KK21">
        <v>4</v>
      </c>
      <c r="KL21">
        <v>42</v>
      </c>
      <c r="KO21">
        <f t="shared" si="104"/>
        <v>2.125</v>
      </c>
      <c r="KP21">
        <v>0.44669999999999999</v>
      </c>
      <c r="KR21">
        <f t="shared" si="105"/>
        <v>178.2868</v>
      </c>
      <c r="KV21" t="s">
        <v>104</v>
      </c>
      <c r="KW21">
        <v>4</v>
      </c>
      <c r="KX21">
        <v>43</v>
      </c>
      <c r="LA21">
        <f t="shared" si="119"/>
        <v>2.125</v>
      </c>
      <c r="LB21">
        <v>4.25</v>
      </c>
      <c r="LD21">
        <f t="shared" si="120"/>
        <v>197.5</v>
      </c>
    </row>
    <row r="22" spans="2:316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107"/>
        <v>269.94499999999999</v>
      </c>
      <c r="DS22" t="s">
        <v>106</v>
      </c>
      <c r="DT22">
        <v>1</v>
      </c>
      <c r="DU22">
        <v>25.2</v>
      </c>
      <c r="DX22">
        <f t="shared" si="122"/>
        <v>2.125</v>
      </c>
      <c r="DY22">
        <v>1.03</v>
      </c>
      <c r="EA22">
        <f t="shared" si="108"/>
        <v>28.355</v>
      </c>
      <c r="EE22" t="s">
        <v>106</v>
      </c>
      <c r="EF22">
        <v>1</v>
      </c>
      <c r="EG22">
        <v>25.2</v>
      </c>
      <c r="EJ22">
        <f t="shared" ref="EJ22" si="128">(3-30/20/12-9/12)</f>
        <v>2.125</v>
      </c>
      <c r="EK22">
        <v>1.03</v>
      </c>
      <c r="EM22">
        <f t="shared" ref="EM22" si="129">SUM(EG22:EL22)*EF22</f>
        <v>28.355</v>
      </c>
      <c r="EQ22" t="s">
        <v>106</v>
      </c>
      <c r="ER22">
        <v>2</v>
      </c>
      <c r="ES22">
        <v>25.2</v>
      </c>
      <c r="EV22">
        <f t="shared" si="123"/>
        <v>2.125</v>
      </c>
      <c r="EW22">
        <v>1.03</v>
      </c>
      <c r="EY22">
        <f t="shared" si="110"/>
        <v>56.71</v>
      </c>
      <c r="FC22" t="s">
        <v>104</v>
      </c>
      <c r="FD22">
        <v>4</v>
      </c>
      <c r="FE22">
        <v>42</v>
      </c>
      <c r="FH22">
        <f t="shared" si="111"/>
        <v>2.125</v>
      </c>
      <c r="FI22">
        <v>0.44669999999999999</v>
      </c>
      <c r="FK22">
        <f t="shared" si="92"/>
        <v>178.2868</v>
      </c>
      <c r="FO22" t="s">
        <v>104</v>
      </c>
      <c r="FP22">
        <v>4</v>
      </c>
      <c r="FQ22">
        <v>42</v>
      </c>
      <c r="FT22">
        <f t="shared" si="112"/>
        <v>2.125</v>
      </c>
      <c r="FU22">
        <v>0.44669999999999999</v>
      </c>
      <c r="FW22">
        <f t="shared" si="93"/>
        <v>178.2868</v>
      </c>
      <c r="GA22" t="s">
        <v>79</v>
      </c>
      <c r="GB22">
        <v>3</v>
      </c>
      <c r="GC22">
        <v>42</v>
      </c>
      <c r="GF22">
        <f t="shared" si="127"/>
        <v>2.125</v>
      </c>
      <c r="GG22">
        <v>0.86499999999999999</v>
      </c>
      <c r="GI22">
        <f t="shared" si="124"/>
        <v>134.97</v>
      </c>
      <c r="GM22" t="s">
        <v>104</v>
      </c>
      <c r="GN22">
        <v>4</v>
      </c>
      <c r="GO22">
        <v>42</v>
      </c>
      <c r="GR22">
        <f t="shared" si="113"/>
        <v>2.125</v>
      </c>
      <c r="GS22">
        <v>0.44669999999999999</v>
      </c>
      <c r="GU22">
        <f t="shared" si="94"/>
        <v>178.2868</v>
      </c>
      <c r="GY22" t="s">
        <v>104</v>
      </c>
      <c r="GZ22">
        <v>4</v>
      </c>
      <c r="HA22">
        <v>42</v>
      </c>
      <c r="HD22">
        <f t="shared" si="114"/>
        <v>2.125</v>
      </c>
      <c r="HE22">
        <v>0.44669999999999999</v>
      </c>
      <c r="HG22">
        <f t="shared" si="95"/>
        <v>178.2868</v>
      </c>
      <c r="HK22" t="s">
        <v>104</v>
      </c>
      <c r="HL22">
        <v>4</v>
      </c>
      <c r="HM22">
        <v>42</v>
      </c>
      <c r="HP22">
        <f t="shared" si="115"/>
        <v>2.125</v>
      </c>
      <c r="HQ22">
        <v>0.44669999999999999</v>
      </c>
      <c r="HS22">
        <f t="shared" si="96"/>
        <v>178.2868</v>
      </c>
      <c r="HW22" t="s">
        <v>104</v>
      </c>
      <c r="HX22">
        <v>4</v>
      </c>
      <c r="HY22">
        <v>42</v>
      </c>
      <c r="IB22">
        <f t="shared" si="116"/>
        <v>2.125</v>
      </c>
      <c r="IC22">
        <v>0.44669999999999999</v>
      </c>
      <c r="IE22">
        <f t="shared" si="97"/>
        <v>178.2868</v>
      </c>
      <c r="II22" t="s">
        <v>104</v>
      </c>
      <c r="IJ22">
        <v>4</v>
      </c>
      <c r="IK22">
        <v>42</v>
      </c>
      <c r="IN22">
        <f t="shared" si="117"/>
        <v>2.125</v>
      </c>
      <c r="IO22">
        <v>0.44669999999999999</v>
      </c>
      <c r="IQ22">
        <f t="shared" si="98"/>
        <v>178.2868</v>
      </c>
      <c r="IU22" t="s">
        <v>104</v>
      </c>
      <c r="IV22">
        <v>4</v>
      </c>
      <c r="IW22">
        <v>42</v>
      </c>
      <c r="IZ22">
        <f t="shared" si="118"/>
        <v>2.125</v>
      </c>
      <c r="JA22">
        <v>0.44669999999999999</v>
      </c>
      <c r="JC22">
        <f t="shared" si="99"/>
        <v>178.2868</v>
      </c>
      <c r="JL22" t="s">
        <v>105</v>
      </c>
      <c r="JM22">
        <v>0</v>
      </c>
      <c r="JN22">
        <v>25.8</v>
      </c>
      <c r="JQ22">
        <f t="shared" si="100"/>
        <v>2.125</v>
      </c>
      <c r="JR22">
        <v>0.33300000000000002</v>
      </c>
      <c r="JT22">
        <f t="shared" si="101"/>
        <v>0</v>
      </c>
      <c r="JX22" t="s">
        <v>105</v>
      </c>
      <c r="JY22">
        <v>0</v>
      </c>
      <c r="JZ22">
        <v>25.8</v>
      </c>
      <c r="KC22">
        <f t="shared" si="102"/>
        <v>2.125</v>
      </c>
      <c r="KD22">
        <v>0.33300000000000002</v>
      </c>
      <c r="KF22">
        <f t="shared" si="103"/>
        <v>0</v>
      </c>
      <c r="KJ22" t="s">
        <v>105</v>
      </c>
      <c r="KK22">
        <v>2</v>
      </c>
      <c r="KL22">
        <v>25.2</v>
      </c>
      <c r="KO22">
        <f t="shared" si="104"/>
        <v>2.125</v>
      </c>
      <c r="KP22">
        <v>0.33300000000000002</v>
      </c>
      <c r="KR22">
        <f t="shared" si="105"/>
        <v>55.315999999999995</v>
      </c>
      <c r="KV22" t="s">
        <v>208</v>
      </c>
      <c r="KW22">
        <v>3</v>
      </c>
      <c r="KX22">
        <v>43</v>
      </c>
      <c r="LA22">
        <f t="shared" si="119"/>
        <v>2.125</v>
      </c>
      <c r="LB22">
        <v>4.09</v>
      </c>
      <c r="LD22">
        <f t="shared" si="120"/>
        <v>147.64500000000001</v>
      </c>
    </row>
    <row r="23" spans="2:316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107"/>
        <v>0</v>
      </c>
      <c r="DS23" t="s">
        <v>104</v>
      </c>
      <c r="DT23">
        <v>4</v>
      </c>
      <c r="DU23">
        <v>42</v>
      </c>
      <c r="DX23">
        <f t="shared" si="122"/>
        <v>2.125</v>
      </c>
      <c r="DY23">
        <v>0.71</v>
      </c>
      <c r="EA23">
        <f t="shared" si="108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109"/>
        <v>224.95416666666668</v>
      </c>
      <c r="EQ23" t="s">
        <v>104</v>
      </c>
      <c r="ER23">
        <v>6</v>
      </c>
      <c r="ES23">
        <v>42</v>
      </c>
      <c r="EV23">
        <f t="shared" si="123"/>
        <v>2.125</v>
      </c>
      <c r="EW23">
        <v>0.71</v>
      </c>
      <c r="EY23">
        <f t="shared" si="110"/>
        <v>269.01</v>
      </c>
      <c r="FC23" t="s">
        <v>105</v>
      </c>
      <c r="FD23">
        <v>1</v>
      </c>
      <c r="FE23">
        <v>25.2</v>
      </c>
      <c r="FH23">
        <f t="shared" si="111"/>
        <v>2.125</v>
      </c>
      <c r="FI23">
        <v>0.33300000000000002</v>
      </c>
      <c r="FK23">
        <f t="shared" si="92"/>
        <v>27.657999999999998</v>
      </c>
      <c r="FO23" t="s">
        <v>105</v>
      </c>
      <c r="FP23">
        <v>1</v>
      </c>
      <c r="FQ23">
        <v>25.2</v>
      </c>
      <c r="FT23">
        <f t="shared" si="112"/>
        <v>2.125</v>
      </c>
      <c r="FU23">
        <v>0.33300000000000002</v>
      </c>
      <c r="FW23">
        <f t="shared" si="93"/>
        <v>27.657999999999998</v>
      </c>
      <c r="GA23" t="s">
        <v>106</v>
      </c>
      <c r="GB23">
        <v>2</v>
      </c>
      <c r="GC23">
        <v>25.2</v>
      </c>
      <c r="GF23">
        <f t="shared" si="127"/>
        <v>2.125</v>
      </c>
      <c r="GG23">
        <v>0.65800000000000003</v>
      </c>
      <c r="GI23">
        <f t="shared" si="124"/>
        <v>55.966000000000001</v>
      </c>
      <c r="GM23" t="s">
        <v>105</v>
      </c>
      <c r="GN23">
        <v>1</v>
      </c>
      <c r="GO23">
        <v>25.2</v>
      </c>
      <c r="GR23">
        <f t="shared" si="113"/>
        <v>2.125</v>
      </c>
      <c r="GS23">
        <v>0.33300000000000002</v>
      </c>
      <c r="GU23">
        <f t="shared" si="94"/>
        <v>27.657999999999998</v>
      </c>
      <c r="GY23" t="s">
        <v>105</v>
      </c>
      <c r="GZ23">
        <v>1</v>
      </c>
      <c r="HA23">
        <v>25.2</v>
      </c>
      <c r="HD23">
        <f t="shared" si="114"/>
        <v>2.125</v>
      </c>
      <c r="HE23">
        <v>0.33300000000000002</v>
      </c>
      <c r="HG23">
        <f t="shared" si="95"/>
        <v>27.657999999999998</v>
      </c>
      <c r="HK23" t="s">
        <v>105</v>
      </c>
      <c r="HL23">
        <v>1</v>
      </c>
      <c r="HM23">
        <v>25.2</v>
      </c>
      <c r="HP23">
        <f t="shared" si="115"/>
        <v>2.125</v>
      </c>
      <c r="HQ23">
        <v>0.33300000000000002</v>
      </c>
      <c r="HS23">
        <f t="shared" si="96"/>
        <v>27.657999999999998</v>
      </c>
      <c r="HW23" t="s">
        <v>105</v>
      </c>
      <c r="HX23">
        <v>1</v>
      </c>
      <c r="HY23">
        <v>25.2</v>
      </c>
      <c r="IB23">
        <f t="shared" si="116"/>
        <v>2.125</v>
      </c>
      <c r="IC23">
        <v>0.33300000000000002</v>
      </c>
      <c r="IE23">
        <f t="shared" si="97"/>
        <v>27.657999999999998</v>
      </c>
      <c r="II23" t="s">
        <v>105</v>
      </c>
      <c r="IJ23">
        <v>1</v>
      </c>
      <c r="IK23">
        <v>25.2</v>
      </c>
      <c r="IN23">
        <f t="shared" si="117"/>
        <v>2.125</v>
      </c>
      <c r="IO23">
        <v>0.33300000000000002</v>
      </c>
      <c r="IQ23">
        <f t="shared" si="98"/>
        <v>27.657999999999998</v>
      </c>
      <c r="IU23" t="s">
        <v>105</v>
      </c>
      <c r="IV23">
        <v>1</v>
      </c>
      <c r="IW23">
        <v>25.2</v>
      </c>
      <c r="IZ23">
        <f t="shared" si="118"/>
        <v>2.125</v>
      </c>
      <c r="JA23">
        <v>0.33300000000000002</v>
      </c>
      <c r="JC23">
        <f t="shared" si="99"/>
        <v>27.657999999999998</v>
      </c>
      <c r="JL23" t="s">
        <v>208</v>
      </c>
      <c r="JM23">
        <v>4</v>
      </c>
      <c r="JN23">
        <v>43</v>
      </c>
      <c r="JQ23">
        <f t="shared" si="100"/>
        <v>2.125</v>
      </c>
      <c r="JR23">
        <v>0.44669999999999999</v>
      </c>
      <c r="JT23">
        <f t="shared" si="101"/>
        <v>182.2868</v>
      </c>
      <c r="JX23" t="s">
        <v>208</v>
      </c>
      <c r="JY23">
        <v>4</v>
      </c>
      <c r="JZ23">
        <v>43</v>
      </c>
      <c r="KC23">
        <f t="shared" si="102"/>
        <v>2.125</v>
      </c>
      <c r="KD23">
        <v>0.44669999999999999</v>
      </c>
      <c r="KF23">
        <f t="shared" si="103"/>
        <v>182.2868</v>
      </c>
      <c r="KJ23" t="s">
        <v>180</v>
      </c>
      <c r="KK23">
        <v>3</v>
      </c>
      <c r="KL23">
        <v>43</v>
      </c>
      <c r="KO23">
        <f t="shared" si="104"/>
        <v>2.125</v>
      </c>
      <c r="KP23">
        <v>0.44669999999999999</v>
      </c>
      <c r="KR23">
        <f t="shared" si="105"/>
        <v>136.71510000000001</v>
      </c>
      <c r="KV23" t="s">
        <v>207</v>
      </c>
      <c r="KW23">
        <v>3</v>
      </c>
      <c r="KX23">
        <v>43</v>
      </c>
      <c r="LA23">
        <f t="shared" si="119"/>
        <v>2.125</v>
      </c>
      <c r="LB23">
        <v>4.09</v>
      </c>
      <c r="LD23">
        <f t="shared" si="120"/>
        <v>147.64500000000001</v>
      </c>
    </row>
    <row r="24" spans="2:316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122"/>
        <v>2.125</v>
      </c>
      <c r="DY24">
        <v>0.71</v>
      </c>
      <c r="EA24">
        <f t="shared" si="108"/>
        <v>28.035</v>
      </c>
      <c r="EQ24" t="s">
        <v>105</v>
      </c>
      <c r="ER24">
        <v>0</v>
      </c>
      <c r="ES24">
        <v>25.2</v>
      </c>
      <c r="EV24">
        <f t="shared" si="123"/>
        <v>2.125</v>
      </c>
      <c r="EW24">
        <v>0.71</v>
      </c>
      <c r="EY24">
        <f t="shared" si="110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27"/>
        <v>2.125</v>
      </c>
      <c r="GG24">
        <v>0.44669999999999999</v>
      </c>
      <c r="GI24">
        <f t="shared" si="124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114"/>
        <v>2.125</v>
      </c>
      <c r="HG24">
        <f t="shared" si="95"/>
        <v>0</v>
      </c>
      <c r="HK24" t="s">
        <v>119</v>
      </c>
      <c r="HL24">
        <v>5</v>
      </c>
      <c r="HM24">
        <v>16.8</v>
      </c>
      <c r="HP24">
        <f t="shared" si="115"/>
        <v>2.125</v>
      </c>
      <c r="HS24">
        <f t="shared" si="96"/>
        <v>94.625</v>
      </c>
      <c r="HW24" t="s">
        <v>119</v>
      </c>
      <c r="HX24">
        <v>0</v>
      </c>
      <c r="HY24">
        <v>16.8</v>
      </c>
      <c r="IB24">
        <f t="shared" si="116"/>
        <v>2.125</v>
      </c>
      <c r="IE24">
        <f t="shared" si="97"/>
        <v>0</v>
      </c>
      <c r="II24" t="s">
        <v>119</v>
      </c>
      <c r="IJ24">
        <v>0</v>
      </c>
      <c r="IK24">
        <v>16.8</v>
      </c>
      <c r="IN24">
        <f t="shared" si="117"/>
        <v>2.125</v>
      </c>
      <c r="IQ24">
        <f t="shared" si="98"/>
        <v>0</v>
      </c>
      <c r="IU24" t="s">
        <v>180</v>
      </c>
      <c r="IV24">
        <v>5</v>
      </c>
      <c r="IW24">
        <v>42</v>
      </c>
      <c r="IZ24">
        <f t="shared" si="118"/>
        <v>2.125</v>
      </c>
      <c r="JA24">
        <v>0.44669999999999999</v>
      </c>
      <c r="JC24">
        <f t="shared" si="99"/>
        <v>222.85849999999999</v>
      </c>
      <c r="JL24" t="s">
        <v>215</v>
      </c>
      <c r="JM24">
        <v>1</v>
      </c>
      <c r="JN24">
        <v>25.8</v>
      </c>
      <c r="JQ24">
        <f t="shared" si="100"/>
        <v>2.125</v>
      </c>
      <c r="JR24">
        <v>0.33300000000000002</v>
      </c>
      <c r="JT24">
        <f t="shared" ref="JT24" si="130">SUM(JN24:JS24)*JM24</f>
        <v>28.257999999999999</v>
      </c>
      <c r="JX24" t="s">
        <v>215</v>
      </c>
      <c r="JY24">
        <v>1</v>
      </c>
      <c r="JZ24">
        <v>25.8</v>
      </c>
      <c r="KC24">
        <f t="shared" si="102"/>
        <v>2.125</v>
      </c>
      <c r="KD24">
        <v>0.33300000000000002</v>
      </c>
      <c r="KF24">
        <f t="shared" ref="KF24" si="131">SUM(JZ24:KE24)*JY24</f>
        <v>28.257999999999999</v>
      </c>
      <c r="KJ24" t="s">
        <v>58</v>
      </c>
      <c r="KK24">
        <v>10</v>
      </c>
      <c r="KR24">
        <f>(SUM(KK18:KK22)-KK24)*4</f>
        <v>80</v>
      </c>
      <c r="KV24" t="s">
        <v>219</v>
      </c>
      <c r="KW24">
        <v>1</v>
      </c>
      <c r="KX24">
        <v>25.8</v>
      </c>
      <c r="LA24">
        <f t="shared" si="119"/>
        <v>2.125</v>
      </c>
      <c r="LB24">
        <v>3.56</v>
      </c>
      <c r="LD24">
        <f t="shared" ref="LD24" si="132">SUM(KX24:LC24)*KW24</f>
        <v>31.484999999999999</v>
      </c>
    </row>
    <row r="25" spans="2:316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33">SUM(C25:E25)</f>
        <v>460</v>
      </c>
      <c r="N25" t="s">
        <v>14</v>
      </c>
      <c r="O25">
        <v>400</v>
      </c>
      <c r="P25">
        <v>20</v>
      </c>
      <c r="Q25">
        <f t="shared" ref="Q25:Q27" si="134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35">AM25*0.1</f>
        <v>26</v>
      </c>
      <c r="AP25">
        <f t="shared" ref="AP25:AP27" si="136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27"/>
        <v>2.125</v>
      </c>
      <c r="GG25">
        <v>0.33300000000000002</v>
      </c>
      <c r="GI25">
        <f t="shared" si="124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114"/>
        <v>2.125</v>
      </c>
      <c r="HG25">
        <f t="shared" si="95"/>
        <v>0</v>
      </c>
      <c r="HK25" t="s">
        <v>120</v>
      </c>
      <c r="HL25">
        <v>0</v>
      </c>
      <c r="HM25">
        <v>16.8</v>
      </c>
      <c r="HP25">
        <f t="shared" si="115"/>
        <v>2.125</v>
      </c>
      <c r="HS25">
        <f t="shared" si="96"/>
        <v>0</v>
      </c>
      <c r="HW25" t="s">
        <v>120</v>
      </c>
      <c r="HX25">
        <v>0</v>
      </c>
      <c r="HY25">
        <v>16.8</v>
      </c>
      <c r="IB25">
        <f t="shared" si="116"/>
        <v>2.125</v>
      </c>
      <c r="IE25">
        <f t="shared" si="97"/>
        <v>0</v>
      </c>
      <c r="II25" t="s">
        <v>120</v>
      </c>
      <c r="IJ25">
        <v>0</v>
      </c>
      <c r="IK25">
        <v>16.8</v>
      </c>
      <c r="IN25">
        <f t="shared" si="117"/>
        <v>2.125</v>
      </c>
      <c r="IQ25">
        <f t="shared" si="98"/>
        <v>0</v>
      </c>
      <c r="IU25" t="s">
        <v>120</v>
      </c>
      <c r="IV25">
        <v>0</v>
      </c>
      <c r="IW25">
        <v>16.8</v>
      </c>
      <c r="IZ25">
        <f t="shared" si="118"/>
        <v>2.125</v>
      </c>
      <c r="JC25">
        <f t="shared" si="99"/>
        <v>0</v>
      </c>
      <c r="JL25" t="s">
        <v>58</v>
      </c>
      <c r="JM25">
        <v>10</v>
      </c>
      <c r="JT25">
        <f>(SUM(JM18:JM22)-JM25)*4</f>
        <v>128</v>
      </c>
      <c r="JX25" t="s">
        <v>58</v>
      </c>
      <c r="JY25">
        <v>10</v>
      </c>
      <c r="KF25">
        <f>(SUM(JY18:JY22)-JY25)*4</f>
        <v>128</v>
      </c>
      <c r="KI25" t="s">
        <v>12</v>
      </c>
      <c r="KR25">
        <f>SUM(KR2:KR24)</f>
        <v>9486.9524740740744</v>
      </c>
      <c r="KV25" t="s">
        <v>220</v>
      </c>
      <c r="KW25">
        <v>27</v>
      </c>
      <c r="KX25">
        <v>4</v>
      </c>
      <c r="LD25">
        <f>KX25*KW25</f>
        <v>108</v>
      </c>
    </row>
    <row r="26" spans="2:316">
      <c r="B26" t="s">
        <v>41</v>
      </c>
      <c r="C26">
        <v>260</v>
      </c>
      <c r="D26">
        <v>75</v>
      </c>
      <c r="E26">
        <f>C26*0.1</f>
        <v>26</v>
      </c>
      <c r="F26">
        <f t="shared" si="133"/>
        <v>361</v>
      </c>
      <c r="N26" t="s">
        <v>41</v>
      </c>
      <c r="O26">
        <v>260</v>
      </c>
      <c r="P26">
        <v>75</v>
      </c>
      <c r="Q26">
        <f t="shared" si="134"/>
        <v>26</v>
      </c>
      <c r="R26">
        <f t="shared" ref="R26:R27" si="137">SUM(O26:Q26)</f>
        <v>361</v>
      </c>
      <c r="Z26" t="s">
        <v>41</v>
      </c>
      <c r="AA26">
        <v>260</v>
      </c>
      <c r="AB26">
        <v>75</v>
      </c>
      <c r="AC26">
        <f t="shared" ref="AC26:AC27" si="138">AA26*0.1</f>
        <v>26</v>
      </c>
      <c r="AD26">
        <f t="shared" ref="AD26:AD28" si="139">SUM(AA26:AC26)</f>
        <v>361</v>
      </c>
      <c r="AL26" t="s">
        <v>42</v>
      </c>
      <c r="AM26">
        <v>240</v>
      </c>
      <c r="AN26">
        <v>75</v>
      </c>
      <c r="AO26">
        <f t="shared" si="135"/>
        <v>24</v>
      </c>
      <c r="AP26">
        <f t="shared" si="136"/>
        <v>339</v>
      </c>
      <c r="AX26" t="s">
        <v>41</v>
      </c>
      <c r="AY26">
        <v>260</v>
      </c>
      <c r="AZ26">
        <v>75</v>
      </c>
      <c r="BA26">
        <f t="shared" ref="BA26:BA27" si="140">AY26*0.1</f>
        <v>26</v>
      </c>
      <c r="BB26">
        <f t="shared" ref="BB26:BB28" si="141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42">BK26*0.1</f>
        <v>26</v>
      </c>
      <c r="BN26">
        <f t="shared" ref="BN26:BN28" si="143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27"/>
        <v>2.125</v>
      </c>
      <c r="GI26">
        <f t="shared" ref="GI26" si="144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  <c r="JK26" t="s">
        <v>12</v>
      </c>
      <c r="JT26">
        <f>SUM(JT2:JT25)</f>
        <v>11405.602788888888</v>
      </c>
      <c r="JW26" t="s">
        <v>12</v>
      </c>
      <c r="KF26">
        <f>SUM(KF2:KF25)</f>
        <v>11405.602788888888</v>
      </c>
      <c r="KU26" t="s">
        <v>12</v>
      </c>
      <c r="LD26">
        <f>SUM(LD2:LD25)</f>
        <v>11055.358777777779</v>
      </c>
    </row>
    <row r="27" spans="2:316">
      <c r="B27" t="s">
        <v>42</v>
      </c>
      <c r="C27">
        <v>240</v>
      </c>
      <c r="D27">
        <v>75</v>
      </c>
      <c r="E27">
        <f>C27*0.1</f>
        <v>24</v>
      </c>
      <c r="F27">
        <f t="shared" si="133"/>
        <v>339</v>
      </c>
      <c r="N27" t="s">
        <v>42</v>
      </c>
      <c r="O27">
        <v>240</v>
      </c>
      <c r="P27">
        <v>75</v>
      </c>
      <c r="Q27">
        <f t="shared" si="134"/>
        <v>24</v>
      </c>
      <c r="R27">
        <f t="shared" si="137"/>
        <v>339</v>
      </c>
      <c r="Z27" t="s">
        <v>42</v>
      </c>
      <c r="AA27">
        <v>240</v>
      </c>
      <c r="AB27">
        <v>75</v>
      </c>
      <c r="AC27">
        <f t="shared" si="138"/>
        <v>24</v>
      </c>
      <c r="AD27">
        <f t="shared" si="139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36"/>
        <v>295.5</v>
      </c>
      <c r="AX27" t="s">
        <v>42</v>
      </c>
      <c r="AY27">
        <v>240</v>
      </c>
      <c r="AZ27">
        <v>75</v>
      </c>
      <c r="BA27">
        <f t="shared" si="140"/>
        <v>24</v>
      </c>
      <c r="BB27">
        <f t="shared" si="141"/>
        <v>339</v>
      </c>
      <c r="BJ27" t="s">
        <v>42</v>
      </c>
      <c r="BK27">
        <v>240</v>
      </c>
      <c r="BL27">
        <v>75</v>
      </c>
      <c r="BM27">
        <f t="shared" si="142"/>
        <v>24</v>
      </c>
      <c r="BN27">
        <f t="shared" si="143"/>
        <v>339</v>
      </c>
      <c r="BV27" t="s">
        <v>41</v>
      </c>
      <c r="BW27">
        <v>260</v>
      </c>
      <c r="BX27">
        <f>75+20</f>
        <v>95</v>
      </c>
      <c r="BY27">
        <f t="shared" ref="BY27:BY28" si="145">BW27*0.1</f>
        <v>26</v>
      </c>
      <c r="BZ27">
        <f t="shared" ref="BZ27:BZ29" si="146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47">CI27*0.1</f>
        <v>26</v>
      </c>
      <c r="CL27">
        <f t="shared" ref="CL27:CL29" si="148">SUM(CI27:CK27)</f>
        <v>381</v>
      </c>
      <c r="CT27" t="s">
        <v>41</v>
      </c>
      <c r="CU27">
        <v>260</v>
      </c>
      <c r="CV27">
        <v>75</v>
      </c>
      <c r="CW27">
        <f t="shared" ref="CW27:CW28" si="149">CU27*0.1</f>
        <v>26</v>
      </c>
      <c r="CX27">
        <f t="shared" ref="CX27:CX29" si="150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27"/>
        <v>2.125</v>
      </c>
      <c r="GI27">
        <f t="shared" ref="GI27" si="151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  <c r="KI27" t="s">
        <v>13</v>
      </c>
      <c r="KJ27" t="s">
        <v>15</v>
      </c>
      <c r="KK27" t="s">
        <v>16</v>
      </c>
      <c r="KL27" t="s">
        <v>17</v>
      </c>
      <c r="KM27" t="s">
        <v>12</v>
      </c>
    </row>
    <row r="28" spans="2:316">
      <c r="B28" t="s">
        <v>49</v>
      </c>
      <c r="C28">
        <v>250</v>
      </c>
      <c r="D28">
        <v>75</v>
      </c>
      <c r="E28">
        <f>C28*0.05</f>
        <v>12.5</v>
      </c>
      <c r="F28">
        <f t="shared" si="133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52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39"/>
        <v>295.5</v>
      </c>
      <c r="AL28" t="s">
        <v>43</v>
      </c>
      <c r="AM28">
        <v>260</v>
      </c>
      <c r="AN28">
        <v>80</v>
      </c>
      <c r="AO28">
        <f t="shared" ref="AO28:AO29" si="153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41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43"/>
        <v>295.5</v>
      </c>
      <c r="BV28" t="s">
        <v>42</v>
      </c>
      <c r="BW28">
        <v>240</v>
      </c>
      <c r="BX28">
        <v>75</v>
      </c>
      <c r="BY28">
        <f t="shared" si="145"/>
        <v>24</v>
      </c>
      <c r="BZ28">
        <f t="shared" si="146"/>
        <v>339</v>
      </c>
      <c r="CH28" t="s">
        <v>42</v>
      </c>
      <c r="CI28">
        <v>240</v>
      </c>
      <c r="CJ28">
        <v>75</v>
      </c>
      <c r="CK28">
        <f t="shared" si="147"/>
        <v>24</v>
      </c>
      <c r="CL28">
        <f t="shared" si="148"/>
        <v>339</v>
      </c>
      <c r="CT28" t="s">
        <v>42</v>
      </c>
      <c r="CU28">
        <v>240</v>
      </c>
      <c r="CV28">
        <v>75</v>
      </c>
      <c r="CW28">
        <f t="shared" si="149"/>
        <v>24</v>
      </c>
      <c r="CX28">
        <f t="shared" si="150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  <c r="JK28" t="s">
        <v>13</v>
      </c>
      <c r="JL28" t="s">
        <v>15</v>
      </c>
      <c r="JM28" t="s">
        <v>16</v>
      </c>
      <c r="JN28" t="s">
        <v>17</v>
      </c>
      <c r="JO28" t="s">
        <v>12</v>
      </c>
      <c r="JW28" t="s">
        <v>13</v>
      </c>
      <c r="JX28" t="s">
        <v>15</v>
      </c>
      <c r="JY28" t="s">
        <v>16</v>
      </c>
      <c r="JZ28" t="s">
        <v>17</v>
      </c>
      <c r="KA28" t="s">
        <v>12</v>
      </c>
      <c r="KI28" t="s">
        <v>45</v>
      </c>
      <c r="KJ28">
        <v>380</v>
      </c>
      <c r="KK28">
        <v>20</v>
      </c>
      <c r="KL28">
        <f>KJ28*0.1</f>
        <v>38</v>
      </c>
      <c r="KM28">
        <f>SUM(KJ28:KL28)</f>
        <v>438</v>
      </c>
      <c r="KU28" t="s">
        <v>13</v>
      </c>
      <c r="KV28" t="s">
        <v>15</v>
      </c>
      <c r="KW28" t="s">
        <v>16</v>
      </c>
      <c r="KX28" t="s">
        <v>17</v>
      </c>
      <c r="KY28" t="s">
        <v>12</v>
      </c>
    </row>
    <row r="29" spans="2:316">
      <c r="B29" t="s">
        <v>43</v>
      </c>
      <c r="C29">
        <v>260</v>
      </c>
      <c r="D29">
        <v>75</v>
      </c>
      <c r="E29">
        <f t="shared" ref="E29:E36" si="154">C29*0.1</f>
        <v>26</v>
      </c>
      <c r="F29">
        <f t="shared" si="133"/>
        <v>361</v>
      </c>
      <c r="N29" t="s">
        <v>43</v>
      </c>
      <c r="O29">
        <v>260</v>
      </c>
      <c r="P29">
        <v>80</v>
      </c>
      <c r="Q29">
        <f t="shared" ref="Q29:Q30" si="155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56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53"/>
        <v>26</v>
      </c>
      <c r="AP29">
        <f t="shared" ref="AP29" si="157">SUM(AM29:AO29)</f>
        <v>361</v>
      </c>
      <c r="AX29" t="s">
        <v>43</v>
      </c>
      <c r="AY29">
        <v>260</v>
      </c>
      <c r="AZ29">
        <v>80</v>
      </c>
      <c r="BA29">
        <f t="shared" ref="BA29:BA30" si="158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59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46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48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50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60">SUM(FC29:FE29)</f>
        <v>240</v>
      </c>
      <c r="FM29" s="1" t="s">
        <v>39</v>
      </c>
      <c r="FN29" t="s">
        <v>92</v>
      </c>
      <c r="FO29">
        <v>240</v>
      </c>
      <c r="FR29">
        <f t="shared" ref="FR29:FR30" si="161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62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  <c r="JK29" t="s">
        <v>45</v>
      </c>
      <c r="JL29">
        <v>380</v>
      </c>
      <c r="JM29">
        <v>20</v>
      </c>
      <c r="JN29">
        <f>JL29*0.1</f>
        <v>38</v>
      </c>
      <c r="JO29">
        <f>SUM(JL29:JN29)</f>
        <v>438</v>
      </c>
      <c r="JW29" t="s">
        <v>45</v>
      </c>
      <c r="JX29">
        <v>380</v>
      </c>
      <c r="JY29">
        <v>20</v>
      </c>
      <c r="JZ29">
        <f>JX29*0.1</f>
        <v>38</v>
      </c>
      <c r="KA29">
        <f>SUM(JX29:JZ29)</f>
        <v>438</v>
      </c>
      <c r="KH29" s="1" t="s">
        <v>39</v>
      </c>
      <c r="KI29" t="s">
        <v>194</v>
      </c>
      <c r="KJ29">
        <v>260</v>
      </c>
      <c r="KK29">
        <f>20+35</f>
        <v>55</v>
      </c>
      <c r="KL29">
        <f t="shared" ref="KL29:KL30" si="163">KJ29*0.1</f>
        <v>26</v>
      </c>
      <c r="KM29">
        <f t="shared" ref="KM29:KM30" si="164">SUM(KJ29:KL29)</f>
        <v>341</v>
      </c>
      <c r="KU29" t="s">
        <v>45</v>
      </c>
      <c r="KV29">
        <v>380</v>
      </c>
      <c r="KW29">
        <v>20</v>
      </c>
      <c r="KX29">
        <f>KV29*0.1</f>
        <v>38</v>
      </c>
      <c r="KY29">
        <f>SUM(KV29:KX29)</f>
        <v>438</v>
      </c>
    </row>
    <row r="30" spans="2:316">
      <c r="B30" t="s">
        <v>44</v>
      </c>
      <c r="C30">
        <v>260</v>
      </c>
      <c r="D30">
        <v>75</v>
      </c>
      <c r="E30">
        <f t="shared" si="154"/>
        <v>26</v>
      </c>
      <c r="F30">
        <f t="shared" si="133"/>
        <v>361</v>
      </c>
      <c r="N30" t="s">
        <v>44</v>
      </c>
      <c r="O30">
        <v>260</v>
      </c>
      <c r="P30">
        <v>75</v>
      </c>
      <c r="Q30">
        <f t="shared" si="155"/>
        <v>26</v>
      </c>
      <c r="R30">
        <f t="shared" ref="R30" si="165">SUM(O30:Q30)</f>
        <v>361</v>
      </c>
      <c r="Z30" t="s">
        <v>44</v>
      </c>
      <c r="AA30">
        <v>260</v>
      </c>
      <c r="AB30">
        <v>75</v>
      </c>
      <c r="AC30">
        <f t="shared" si="156"/>
        <v>26</v>
      </c>
      <c r="AD30">
        <f t="shared" ref="AD30" si="166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58"/>
        <v>26</v>
      </c>
      <c r="BB30">
        <f t="shared" ref="BB30" si="167">SUM(AY30:BA30)</f>
        <v>361</v>
      </c>
      <c r="BJ30" t="s">
        <v>44</v>
      </c>
      <c r="BK30">
        <v>260</v>
      </c>
      <c r="BL30">
        <v>75</v>
      </c>
      <c r="BM30">
        <f t="shared" si="159"/>
        <v>26</v>
      </c>
      <c r="BN30">
        <f t="shared" ref="BN30" si="168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69">SUM(DS30:DU30)</f>
        <v>240</v>
      </c>
      <c r="EC30" s="1" t="s">
        <v>39</v>
      </c>
      <c r="ED30" t="s">
        <v>92</v>
      </c>
      <c r="EE30">
        <v>240</v>
      </c>
      <c r="EH30">
        <f t="shared" ref="EH30:EH32" si="170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71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72">FC30*0.1</f>
        <v>25.5</v>
      </c>
      <c r="FF30">
        <f t="shared" si="160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73">FO30*0.1</f>
        <v>25.5</v>
      </c>
      <c r="FR30">
        <f t="shared" si="161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74">GM30*0.1</f>
        <v>25.5</v>
      </c>
      <c r="GP30">
        <f t="shared" si="162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  <c r="JJ30" s="1" t="s">
        <v>39</v>
      </c>
      <c r="JK30" t="s">
        <v>214</v>
      </c>
      <c r="JL30">
        <v>230</v>
      </c>
      <c r="JM30">
        <v>55</v>
      </c>
      <c r="JN30">
        <f t="shared" ref="JN30:JN31" si="175">JL30*0.1</f>
        <v>23</v>
      </c>
      <c r="JO30">
        <f t="shared" ref="JO30:JO31" si="176">SUM(JL30:JN30)</f>
        <v>308</v>
      </c>
      <c r="JV30" s="1" t="s">
        <v>39</v>
      </c>
      <c r="JW30" t="s">
        <v>214</v>
      </c>
      <c r="JX30">
        <v>230</v>
      </c>
      <c r="JY30">
        <v>55</v>
      </c>
      <c r="JZ30">
        <f t="shared" ref="JZ30:JZ31" si="177">JX30*0.1</f>
        <v>23</v>
      </c>
      <c r="KA30">
        <f t="shared" ref="KA30:KA31" si="178">SUM(JX30:JZ30)</f>
        <v>308</v>
      </c>
      <c r="KH30" s="1" t="s">
        <v>82</v>
      </c>
      <c r="KI30" t="s">
        <v>111</v>
      </c>
      <c r="KJ30">
        <v>255</v>
      </c>
      <c r="KK30">
        <f>20+37</f>
        <v>57</v>
      </c>
      <c r="KL30">
        <f t="shared" si="163"/>
        <v>25.5</v>
      </c>
      <c r="KM30">
        <f t="shared" si="164"/>
        <v>337.5</v>
      </c>
      <c r="KT30" s="1" t="s">
        <v>39</v>
      </c>
      <c r="KU30" t="s">
        <v>214</v>
      </c>
      <c r="KV30">
        <v>210</v>
      </c>
      <c r="KW30">
        <v>75</v>
      </c>
      <c r="KX30">
        <f t="shared" ref="KX30:KX31" si="179">KV30*0.1</f>
        <v>21</v>
      </c>
      <c r="KY30">
        <f t="shared" ref="KY30:KY31" si="180">SUM(KV30:KX30)</f>
        <v>306</v>
      </c>
    </row>
    <row r="31" spans="2:316">
      <c r="B31" t="s">
        <v>48</v>
      </c>
      <c r="C31">
        <v>240</v>
      </c>
      <c r="D31">
        <v>75</v>
      </c>
      <c r="E31">
        <f t="shared" si="154"/>
        <v>24</v>
      </c>
      <c r="F31">
        <f t="shared" si="133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81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82">BW31*0.1</f>
        <v>26</v>
      </c>
      <c r="BZ31">
        <f t="shared" ref="BZ31" si="183">SUM(BW31:BY31)</f>
        <v>361</v>
      </c>
      <c r="CH31" t="s">
        <v>44</v>
      </c>
      <c r="CI31">
        <v>260</v>
      </c>
      <c r="CJ31">
        <v>75</v>
      </c>
      <c r="CK31">
        <f t="shared" ref="CK31" si="184">CI31*0.1</f>
        <v>26</v>
      </c>
      <c r="CL31">
        <f t="shared" ref="CL31" si="185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86">CU31*0.1</f>
        <v>26</v>
      </c>
      <c r="CX31">
        <f t="shared" ref="CX31" si="187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88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89">DS31*0.1</f>
        <v>26</v>
      </c>
      <c r="DV31">
        <f t="shared" si="169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90">EE31*0.1</f>
        <v>26</v>
      </c>
      <c r="EH31">
        <f t="shared" si="170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91">EQ31*0.1</f>
        <v>25.5</v>
      </c>
      <c r="ET31">
        <f t="shared" si="171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92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93">SUM(II31:IK31)</f>
        <v>295</v>
      </c>
      <c r="IS31" s="1" t="s">
        <v>39</v>
      </c>
      <c r="IT31" t="s">
        <v>92</v>
      </c>
      <c r="IX31">
        <f t="shared" ref="IX31:IX32" si="194">SUM(IU31:IW31)</f>
        <v>0</v>
      </c>
      <c r="JJ31" s="1" t="s">
        <v>82</v>
      </c>
      <c r="JK31" t="s">
        <v>111</v>
      </c>
      <c r="JL31">
        <v>255</v>
      </c>
      <c r="JM31">
        <f>20+37</f>
        <v>57</v>
      </c>
      <c r="JN31">
        <f t="shared" si="175"/>
        <v>25.5</v>
      </c>
      <c r="JO31">
        <f t="shared" si="176"/>
        <v>337.5</v>
      </c>
      <c r="JV31" s="1" t="s">
        <v>82</v>
      </c>
      <c r="JW31" t="s">
        <v>111</v>
      </c>
      <c r="JX31">
        <v>255</v>
      </c>
      <c r="JY31">
        <f>20+37</f>
        <v>57</v>
      </c>
      <c r="JZ31">
        <f t="shared" si="177"/>
        <v>25.5</v>
      </c>
      <c r="KA31">
        <f t="shared" si="178"/>
        <v>337.5</v>
      </c>
      <c r="KH31" s="1" t="s">
        <v>38</v>
      </c>
      <c r="KI31" t="s">
        <v>73</v>
      </c>
      <c r="KJ31">
        <v>250</v>
      </c>
      <c r="KK31">
        <v>75</v>
      </c>
      <c r="KL31">
        <f>KJ31*0.05</f>
        <v>12.5</v>
      </c>
      <c r="KM31">
        <f>SUM(KJ31:KL31)</f>
        <v>337.5</v>
      </c>
      <c r="KT31" s="1" t="s">
        <v>82</v>
      </c>
      <c r="KU31" t="s">
        <v>111</v>
      </c>
      <c r="KV31">
        <v>255</v>
      </c>
      <c r="KW31">
        <f>20+37</f>
        <v>57</v>
      </c>
      <c r="KX31">
        <f t="shared" si="179"/>
        <v>25.5</v>
      </c>
      <c r="KY31">
        <f t="shared" si="180"/>
        <v>337.5</v>
      </c>
    </row>
    <row r="32" spans="2:316">
      <c r="B32" t="s">
        <v>59</v>
      </c>
      <c r="C32">
        <v>240</v>
      </c>
      <c r="D32">
        <v>20</v>
      </c>
      <c r="E32">
        <f t="shared" si="154"/>
        <v>24</v>
      </c>
      <c r="F32">
        <f t="shared" si="133"/>
        <v>284</v>
      </c>
      <c r="N32" t="s">
        <v>59</v>
      </c>
      <c r="O32">
        <v>220</v>
      </c>
      <c r="P32">
        <v>20</v>
      </c>
      <c r="Q32">
        <f t="shared" ref="Q32:Q36" si="195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96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81"/>
        <v>26</v>
      </c>
      <c r="AP32">
        <f t="shared" ref="AP32" si="197">SUM(AM32:AO32)</f>
        <v>306</v>
      </c>
      <c r="AX32" t="s">
        <v>59</v>
      </c>
      <c r="AY32">
        <v>220</v>
      </c>
      <c r="AZ32">
        <v>20</v>
      </c>
      <c r="BA32">
        <f t="shared" ref="BA32:BA36" si="198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99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200">DG32*0.1</f>
        <v>26</v>
      </c>
      <c r="DJ32">
        <f t="shared" si="188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90"/>
        <v>27</v>
      </c>
      <c r="EH32">
        <f t="shared" si="170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201">FC32*0.1</f>
        <v>28</v>
      </c>
      <c r="FF32">
        <f t="shared" ref="FF32:FF34" si="202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203">FO32*0.1</f>
        <v>28</v>
      </c>
      <c r="FR32">
        <f t="shared" ref="FR32:FR33" si="204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205">GM32*0.1</f>
        <v>28</v>
      </c>
      <c r="GP32">
        <f t="shared" ref="GP32:GP34" si="206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207">GY32*0.1</f>
        <v>25.5</v>
      </c>
      <c r="HB32">
        <f t="shared" ref="HB32" si="208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209">HK32*0.1</f>
        <v>25.5</v>
      </c>
      <c r="HN32">
        <f t="shared" ref="HN32" si="210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211">HW32*0.1</f>
        <v>25.5</v>
      </c>
      <c r="HZ32">
        <f t="shared" si="192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212">II32*0.1</f>
        <v>25.5</v>
      </c>
      <c r="IL32">
        <f t="shared" si="193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213">IU32*0.1</f>
        <v>25.5</v>
      </c>
      <c r="IX32">
        <f t="shared" si="194"/>
        <v>337.5</v>
      </c>
      <c r="JJ32" s="1" t="s">
        <v>198</v>
      </c>
      <c r="JK32" t="s">
        <v>73</v>
      </c>
      <c r="JL32">
        <v>240</v>
      </c>
      <c r="JM32">
        <v>75</v>
      </c>
      <c r="JN32">
        <f>JL32*0.05</f>
        <v>12</v>
      </c>
      <c r="JO32">
        <f>SUM(JL32:JN32)</f>
        <v>327</v>
      </c>
      <c r="JV32" s="1" t="s">
        <v>198</v>
      </c>
      <c r="JW32" t="s">
        <v>73</v>
      </c>
      <c r="JX32">
        <v>240</v>
      </c>
      <c r="JY32">
        <v>75</v>
      </c>
      <c r="JZ32">
        <f>JX32*0.05</f>
        <v>12</v>
      </c>
      <c r="KA32">
        <f>SUM(JX32:JZ32)</f>
        <v>327</v>
      </c>
      <c r="KH32" s="3" t="s">
        <v>197</v>
      </c>
      <c r="KI32" t="s">
        <v>44</v>
      </c>
      <c r="KJ32">
        <v>290</v>
      </c>
      <c r="KK32">
        <v>80</v>
      </c>
      <c r="KL32">
        <f t="shared" ref="KL32" si="214">KJ32*0.1</f>
        <v>29</v>
      </c>
      <c r="KM32">
        <f t="shared" ref="KM32:KM33" si="215">SUM(KJ32:KL32)</f>
        <v>399</v>
      </c>
      <c r="KT32" s="1" t="s">
        <v>198</v>
      </c>
      <c r="KU32" t="s">
        <v>73</v>
      </c>
      <c r="KV32">
        <v>260</v>
      </c>
      <c r="KW32">
        <v>75</v>
      </c>
      <c r="KX32">
        <f>KV32*0.05</f>
        <v>13</v>
      </c>
      <c r="KY32">
        <f>SUM(KV32:KX32)</f>
        <v>348</v>
      </c>
    </row>
    <row r="33" spans="2:311">
      <c r="B33" t="s">
        <v>45</v>
      </c>
      <c r="C33">
        <v>260</v>
      </c>
      <c r="D33">
        <v>20</v>
      </c>
      <c r="E33">
        <f t="shared" si="154"/>
        <v>26</v>
      </c>
      <c r="F33">
        <f t="shared" si="133"/>
        <v>306</v>
      </c>
      <c r="N33" t="s">
        <v>45</v>
      </c>
      <c r="O33">
        <v>260</v>
      </c>
      <c r="P33">
        <v>20</v>
      </c>
      <c r="Q33">
        <f t="shared" si="195"/>
        <v>26</v>
      </c>
      <c r="R33">
        <f t="shared" ref="R33" si="216">SUM(O33:Q33)</f>
        <v>306</v>
      </c>
      <c r="Z33" t="s">
        <v>45</v>
      </c>
      <c r="AA33">
        <v>260</v>
      </c>
      <c r="AB33">
        <v>20</v>
      </c>
      <c r="AC33">
        <f t="shared" si="196"/>
        <v>26</v>
      </c>
      <c r="AD33">
        <f t="shared" ref="AD33" si="217">SUM(AA33:AC33)</f>
        <v>306</v>
      </c>
      <c r="AL33" t="s">
        <v>61</v>
      </c>
      <c r="AM33">
        <v>200</v>
      </c>
      <c r="AN33">
        <v>20</v>
      </c>
      <c r="AO33">
        <f t="shared" si="181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98"/>
        <v>26</v>
      </c>
      <c r="BB33">
        <f t="shared" ref="BB33" si="218">SUM(AY33:BA33)</f>
        <v>306</v>
      </c>
      <c r="BJ33" t="s">
        <v>45</v>
      </c>
      <c r="BK33">
        <v>260</v>
      </c>
      <c r="BL33">
        <v>20</v>
      </c>
      <c r="BM33">
        <f t="shared" si="199"/>
        <v>26</v>
      </c>
      <c r="BN33">
        <f t="shared" ref="BN33" si="219">SUM(BK33:BM33)</f>
        <v>306</v>
      </c>
      <c r="BV33" t="s">
        <v>59</v>
      </c>
      <c r="BW33">
        <v>240</v>
      </c>
      <c r="BX33">
        <v>20</v>
      </c>
      <c r="BY33">
        <f t="shared" ref="BY33:BY38" si="220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221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222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88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223">DS33*0.1</f>
        <v>28</v>
      </c>
      <c r="DV33">
        <f t="shared" ref="DV33:DV34" si="224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225">EQ33*0.1</f>
        <v>28</v>
      </c>
      <c r="ET33">
        <f t="shared" ref="ET33:ET35" si="226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202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204"/>
        <v>306</v>
      </c>
      <c r="FY33" s="1" t="s">
        <v>39</v>
      </c>
      <c r="FZ33" t="s">
        <v>92</v>
      </c>
      <c r="GA33">
        <v>240</v>
      </c>
      <c r="GD33">
        <f t="shared" ref="GD33:GD34" si="227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206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  <c r="JJ33" s="3" t="s">
        <v>35</v>
      </c>
      <c r="JK33" t="s">
        <v>210</v>
      </c>
      <c r="JL33">
        <f>270-12</f>
        <v>258</v>
      </c>
      <c r="JM33">
        <f>55+12</f>
        <v>67</v>
      </c>
      <c r="JN33">
        <f t="shared" ref="JN33" si="228">JL33*0.1</f>
        <v>25.8</v>
      </c>
      <c r="JO33">
        <f t="shared" ref="JO33:JO34" si="229">SUM(JL33:JN33)</f>
        <v>350.8</v>
      </c>
      <c r="JV33" s="3" t="s">
        <v>35</v>
      </c>
      <c r="JW33" t="s">
        <v>210</v>
      </c>
      <c r="JX33">
        <f>270-12</f>
        <v>258</v>
      </c>
      <c r="JY33">
        <f>55+12</f>
        <v>67</v>
      </c>
      <c r="JZ33">
        <f t="shared" ref="JZ33" si="230">JX33*0.1</f>
        <v>25.8</v>
      </c>
      <c r="KA33">
        <f t="shared" ref="KA33:KA36" si="231">SUM(JX33:JZ33)</f>
        <v>350.8</v>
      </c>
      <c r="KH33" s="3" t="s">
        <v>65</v>
      </c>
      <c r="KI33" t="s">
        <v>115</v>
      </c>
      <c r="KJ33">
        <v>260</v>
      </c>
      <c r="KK33">
        <f>20+35</f>
        <v>55</v>
      </c>
      <c r="KL33">
        <f>KJ33*0.1</f>
        <v>26</v>
      </c>
      <c r="KM33">
        <f t="shared" si="215"/>
        <v>341</v>
      </c>
      <c r="KT33" s="3" t="s">
        <v>35</v>
      </c>
      <c r="KU33" t="s">
        <v>210</v>
      </c>
      <c r="KV33">
        <f>270-12</f>
        <v>258</v>
      </c>
      <c r="KW33">
        <f>55+12</f>
        <v>67</v>
      </c>
      <c r="KX33">
        <f t="shared" ref="KX33" si="232">KV33*0.1</f>
        <v>25.8</v>
      </c>
      <c r="KY33">
        <f t="shared" ref="KY33:KY36" si="233">SUM(KV33:KX33)</f>
        <v>350.8</v>
      </c>
    </row>
    <row r="34" spans="2:311">
      <c r="B34" t="s">
        <v>61</v>
      </c>
      <c r="C34">
        <v>200</v>
      </c>
      <c r="D34">
        <v>20</v>
      </c>
      <c r="E34">
        <f t="shared" si="154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95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96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81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98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99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220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221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222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223"/>
        <v>26</v>
      </c>
      <c r="DV34">
        <f t="shared" si="224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234">EE34*0.1</f>
        <v>28</v>
      </c>
      <c r="EH34">
        <f t="shared" ref="EH34:EH35" si="235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226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202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236">GA34*0.1</f>
        <v>25.5</v>
      </c>
      <c r="GD34">
        <f t="shared" si="227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206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237">GY34*0.1</f>
        <v>28</v>
      </c>
      <c r="HB34">
        <f t="shared" ref="HB34:HB36" si="238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239">HK34*0.1</f>
        <v>28</v>
      </c>
      <c r="HN34">
        <f t="shared" ref="HN34:HN36" si="240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241">HW34*0.1</f>
        <v>28</v>
      </c>
      <c r="HZ34">
        <f t="shared" ref="HZ34:HZ36" si="242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43">II34*0.1</f>
        <v>28</v>
      </c>
      <c r="IL34">
        <f t="shared" ref="IL34:IL36" si="244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45">IU34*0.1</f>
        <v>29</v>
      </c>
      <c r="IX34">
        <f t="shared" ref="IX34:IX36" si="246">SUM(IU34:IW34)</f>
        <v>399</v>
      </c>
      <c r="JJ34" s="3" t="s">
        <v>65</v>
      </c>
      <c r="JK34" t="s">
        <v>209</v>
      </c>
      <c r="JL34">
        <v>260</v>
      </c>
      <c r="JM34">
        <f>20+35</f>
        <v>55</v>
      </c>
      <c r="JN34">
        <f>JL34*0.1</f>
        <v>26</v>
      </c>
      <c r="JO34">
        <f t="shared" si="229"/>
        <v>341</v>
      </c>
      <c r="JV34" s="3" t="s">
        <v>65</v>
      </c>
      <c r="JW34" t="s">
        <v>209</v>
      </c>
      <c r="JX34">
        <v>260</v>
      </c>
      <c r="JY34">
        <f>20+35</f>
        <v>55</v>
      </c>
      <c r="JZ34">
        <f>JX34*0.1</f>
        <v>26</v>
      </c>
      <c r="KA34">
        <f t="shared" si="231"/>
        <v>341</v>
      </c>
      <c r="KH34" s="1" t="s">
        <v>196</v>
      </c>
      <c r="KI34" t="s">
        <v>114</v>
      </c>
      <c r="KJ34">
        <v>205</v>
      </c>
      <c r="KM34">
        <f>SUM(KJ34:KL34)</f>
        <v>205</v>
      </c>
      <c r="KT34" s="3" t="s">
        <v>65</v>
      </c>
      <c r="KU34" t="s">
        <v>209</v>
      </c>
      <c r="KV34">
        <v>260</v>
      </c>
      <c r="KW34">
        <f>20+35</f>
        <v>55</v>
      </c>
      <c r="KX34">
        <f>KV34*0.1</f>
        <v>26</v>
      </c>
      <c r="KY34">
        <f t="shared" si="233"/>
        <v>341</v>
      </c>
    </row>
    <row r="35" spans="2:311">
      <c r="B35" t="s">
        <v>46</v>
      </c>
      <c r="C35">
        <v>250</v>
      </c>
      <c r="D35">
        <v>20</v>
      </c>
      <c r="E35">
        <f t="shared" si="154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95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96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81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98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47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220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221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222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48">DG35*0.1</f>
        <v>34</v>
      </c>
      <c r="DJ35">
        <f t="shared" ref="DJ35" si="249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50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234"/>
        <v>26</v>
      </c>
      <c r="EH35">
        <f t="shared" si="235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226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238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242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44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46"/>
        <v>306</v>
      </c>
      <c r="JJ35" s="3" t="s">
        <v>38</v>
      </c>
      <c r="JK35" t="s">
        <v>216</v>
      </c>
      <c r="JL35">
        <f>270</f>
        <v>270</v>
      </c>
      <c r="JM35">
        <f>20+35+12</f>
        <v>67</v>
      </c>
      <c r="JN35">
        <f>JL35*0.05</f>
        <v>13.5</v>
      </c>
      <c r="JO35">
        <f t="shared" ref="JO35" si="251">SUM(JL35:JN35)</f>
        <v>350.5</v>
      </c>
      <c r="JV35" s="3" t="s">
        <v>38</v>
      </c>
      <c r="JW35" t="s">
        <v>216</v>
      </c>
      <c r="JX35">
        <f>270</f>
        <v>270</v>
      </c>
      <c r="JY35">
        <f>20+35+12</f>
        <v>67</v>
      </c>
      <c r="JZ35">
        <f>JX35*0.05</f>
        <v>13.5</v>
      </c>
      <c r="KA35">
        <f t="shared" si="231"/>
        <v>350.5</v>
      </c>
      <c r="KH35" s="1" t="s">
        <v>197</v>
      </c>
      <c r="KI35" t="s">
        <v>62</v>
      </c>
      <c r="KJ35">
        <v>265</v>
      </c>
      <c r="KK35">
        <v>20</v>
      </c>
      <c r="KL35">
        <f t="shared" ref="KL35:KL37" si="252">KJ35*0.1</f>
        <v>26.5</v>
      </c>
      <c r="KM35">
        <f>SUM(KJ35:KL35)</f>
        <v>311.5</v>
      </c>
      <c r="KT35" s="3" t="s">
        <v>38</v>
      </c>
      <c r="KU35" t="s">
        <v>216</v>
      </c>
      <c r="KV35">
        <f>270</f>
        <v>270</v>
      </c>
      <c r="KW35">
        <f>20+35+12</f>
        <v>67</v>
      </c>
      <c r="KX35">
        <f>KV35*0.05</f>
        <v>13.5</v>
      </c>
      <c r="KY35">
        <f t="shared" si="233"/>
        <v>350.5</v>
      </c>
    </row>
    <row r="36" spans="2:311">
      <c r="B36" t="s">
        <v>62</v>
      </c>
      <c r="C36">
        <v>240</v>
      </c>
      <c r="D36">
        <v>20</v>
      </c>
      <c r="E36">
        <f t="shared" si="154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95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96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98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47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220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221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222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53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50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234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225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54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55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56">GA36*0.1</f>
        <v>28</v>
      </c>
      <c r="GD36">
        <f t="shared" ref="GD36:GD38" si="257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58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238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240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242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44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46"/>
        <v>317</v>
      </c>
      <c r="JJ36" s="3" t="s">
        <v>36</v>
      </c>
      <c r="JK36" t="s">
        <v>211</v>
      </c>
      <c r="JL36">
        <v>260</v>
      </c>
      <c r="JM36">
        <f>20+35</f>
        <v>55</v>
      </c>
      <c r="JN36">
        <f t="shared" ref="JN36" si="259">JL36*0.1</f>
        <v>26</v>
      </c>
      <c r="JO36">
        <f t="shared" ref="JO36" si="260">SUM(JL36:JN36)</f>
        <v>341</v>
      </c>
      <c r="JV36" s="3" t="s">
        <v>36</v>
      </c>
      <c r="JW36" t="s">
        <v>211</v>
      </c>
      <c r="JX36">
        <v>260</v>
      </c>
      <c r="JY36">
        <f>20+35</f>
        <v>55</v>
      </c>
      <c r="JZ36">
        <f t="shared" ref="JZ36" si="261">JX36*0.1</f>
        <v>26</v>
      </c>
      <c r="KA36">
        <f t="shared" si="231"/>
        <v>341</v>
      </c>
      <c r="KH36" s="1" t="s">
        <v>65</v>
      </c>
      <c r="KI36" t="s">
        <v>100</v>
      </c>
      <c r="KJ36">
        <v>240</v>
      </c>
      <c r="KK36">
        <v>20</v>
      </c>
      <c r="KL36">
        <f t="shared" si="252"/>
        <v>24</v>
      </c>
      <c r="KM36">
        <f>SUM(KJ36:KL36)-40</f>
        <v>244</v>
      </c>
      <c r="KT36" s="3" t="s">
        <v>36</v>
      </c>
      <c r="KU36" t="s">
        <v>211</v>
      </c>
      <c r="KV36">
        <v>260</v>
      </c>
      <c r="KW36">
        <f>20+35</f>
        <v>55</v>
      </c>
      <c r="KX36">
        <f t="shared" ref="KX36" si="262">KV36*0.1</f>
        <v>26</v>
      </c>
      <c r="KY36">
        <f t="shared" si="233"/>
        <v>341</v>
      </c>
    </row>
    <row r="37" spans="2:311">
      <c r="B37" t="s">
        <v>60</v>
      </c>
      <c r="C37">
        <v>240</v>
      </c>
      <c r="F37">
        <f t="shared" ref="F37:F49" si="263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64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47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220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221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222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53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50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234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225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54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55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57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58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  <c r="JJ37" s="1" t="s">
        <v>35</v>
      </c>
      <c r="JK37" t="s">
        <v>114</v>
      </c>
      <c r="JL37">
        <v>200</v>
      </c>
      <c r="JO37">
        <f t="shared" ref="JO37:JO44" si="265">SUM(JL37:JN37)</f>
        <v>200</v>
      </c>
      <c r="JV37" s="1" t="s">
        <v>35</v>
      </c>
      <c r="JW37" t="s">
        <v>114</v>
      </c>
      <c r="JX37">
        <v>200</v>
      </c>
      <c r="KA37">
        <f t="shared" ref="KA37:KA44" si="266">SUM(JX37:JZ37)</f>
        <v>200</v>
      </c>
      <c r="KH37" s="1" t="s">
        <v>38</v>
      </c>
      <c r="KI37" t="s">
        <v>195</v>
      </c>
      <c r="KJ37">
        <v>210</v>
      </c>
      <c r="KK37">
        <v>20</v>
      </c>
      <c r="KL37">
        <f t="shared" si="252"/>
        <v>21</v>
      </c>
      <c r="KM37">
        <f>SUM(KJ37:KL37)-60</f>
        <v>191</v>
      </c>
      <c r="KT37" s="1" t="s">
        <v>35</v>
      </c>
      <c r="KU37" t="s">
        <v>114</v>
      </c>
      <c r="KV37">
        <v>200</v>
      </c>
      <c r="KY37">
        <f t="shared" ref="KY37:KY44" si="267">SUM(KV37:KX37)</f>
        <v>200</v>
      </c>
    </row>
    <row r="38" spans="2:311">
      <c r="B38" t="s">
        <v>53</v>
      </c>
      <c r="C38">
        <f>9860*4*21.725/10000</f>
        <v>85.683400000000006</v>
      </c>
      <c r="F38">
        <f t="shared" si="263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96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68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69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220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221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222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53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50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234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225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54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55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57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58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70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71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72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73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74">IU38*0.1</f>
        <v>26</v>
      </c>
      <c r="IX38">
        <f>SUM(IU38:IW38)</f>
        <v>306</v>
      </c>
      <c r="JJ38" s="1" t="s">
        <v>36</v>
      </c>
      <c r="JK38" t="s">
        <v>62</v>
      </c>
      <c r="JL38">
        <v>260</v>
      </c>
      <c r="JM38">
        <v>20</v>
      </c>
      <c r="JN38">
        <f t="shared" ref="JN38:JN39" si="275">JL38*0.1</f>
        <v>26</v>
      </c>
      <c r="JO38">
        <f t="shared" si="265"/>
        <v>306</v>
      </c>
      <c r="JV38" s="1" t="s">
        <v>36</v>
      </c>
      <c r="JW38" t="s">
        <v>62</v>
      </c>
      <c r="JX38">
        <v>260</v>
      </c>
      <c r="JY38">
        <v>20</v>
      </c>
      <c r="JZ38">
        <f t="shared" ref="JZ38:JZ39" si="276">JX38*0.1</f>
        <v>26</v>
      </c>
      <c r="KA38">
        <f t="shared" si="266"/>
        <v>306</v>
      </c>
      <c r="KH38" s="1" t="s">
        <v>82</v>
      </c>
      <c r="KI38" t="s">
        <v>96</v>
      </c>
      <c r="KJ38">
        <v>240</v>
      </c>
      <c r="KM38">
        <f>SUM(KJ38:KL38)</f>
        <v>240</v>
      </c>
      <c r="KT38" s="1" t="s">
        <v>36</v>
      </c>
      <c r="KU38" t="s">
        <v>62</v>
      </c>
      <c r="KV38">
        <v>260</v>
      </c>
      <c r="KW38">
        <v>20</v>
      </c>
      <c r="KX38">
        <f t="shared" ref="KX38:KX39" si="277">KV38*0.1</f>
        <v>26</v>
      </c>
      <c r="KY38">
        <f t="shared" si="267"/>
        <v>306</v>
      </c>
    </row>
    <row r="39" spans="2:311">
      <c r="B39" t="s">
        <v>47</v>
      </c>
      <c r="C39">
        <v>210</v>
      </c>
      <c r="D39">
        <v>20</v>
      </c>
      <c r="E39">
        <f>C39*0.1</f>
        <v>21</v>
      </c>
      <c r="F39">
        <f t="shared" si="263"/>
        <v>251</v>
      </c>
      <c r="N39" t="s">
        <v>47</v>
      </c>
      <c r="O39">
        <v>210</v>
      </c>
      <c r="P39">
        <v>20</v>
      </c>
      <c r="Q39">
        <f t="shared" ref="Q39" si="278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79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80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53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234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225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70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71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72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73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74"/>
        <v>23.5</v>
      </c>
      <c r="IX39">
        <f>SUM(IU39:IW39)-60</f>
        <v>218.5</v>
      </c>
      <c r="JJ39" s="1" t="s">
        <v>65</v>
      </c>
      <c r="JK39" t="s">
        <v>100</v>
      </c>
      <c r="JL39">
        <v>230</v>
      </c>
      <c r="JM39">
        <v>20</v>
      </c>
      <c r="JN39">
        <f t="shared" si="275"/>
        <v>23</v>
      </c>
      <c r="JO39">
        <f t="shared" si="265"/>
        <v>273</v>
      </c>
      <c r="JV39" s="1" t="s">
        <v>65</v>
      </c>
      <c r="JW39" t="s">
        <v>100</v>
      </c>
      <c r="JX39">
        <v>230</v>
      </c>
      <c r="JY39">
        <v>20</v>
      </c>
      <c r="JZ39">
        <f t="shared" si="276"/>
        <v>23</v>
      </c>
      <c r="KA39">
        <f t="shared" si="266"/>
        <v>273</v>
      </c>
      <c r="KI39" t="s">
        <v>200</v>
      </c>
      <c r="KJ39">
        <f>1.003*209-20</f>
        <v>189.62699999999998</v>
      </c>
      <c r="KK39">
        <v>20</v>
      </c>
      <c r="KL39">
        <f t="shared" ref="KL39" si="281">KJ39*0.1</f>
        <v>18.962699999999998</v>
      </c>
      <c r="KM39">
        <f>SUM(KJ39:KL39)-6</f>
        <v>222.58969999999999</v>
      </c>
      <c r="KT39" s="1" t="s">
        <v>39</v>
      </c>
      <c r="KU39" t="s">
        <v>221</v>
      </c>
      <c r="KV39">
        <v>220</v>
      </c>
      <c r="KW39">
        <v>20</v>
      </c>
      <c r="KX39">
        <f t="shared" si="277"/>
        <v>22</v>
      </c>
      <c r="KY39">
        <f t="shared" si="267"/>
        <v>262</v>
      </c>
    </row>
    <row r="40" spans="2:311">
      <c r="B40" t="s">
        <v>18</v>
      </c>
      <c r="C40">
        <f>150+120+100</f>
        <v>370</v>
      </c>
      <c r="F40">
        <f t="shared" si="263"/>
        <v>370</v>
      </c>
      <c r="N40" t="s">
        <v>18</v>
      </c>
      <c r="O40">
        <f>150+120+130</f>
        <v>400</v>
      </c>
      <c r="R40">
        <f t="shared" ref="R40:R49" si="282">SUM(O40:Q40)</f>
        <v>400</v>
      </c>
      <c r="Z40" t="s">
        <v>47</v>
      </c>
      <c r="AA40">
        <v>210</v>
      </c>
      <c r="AB40">
        <v>20</v>
      </c>
      <c r="AC40">
        <f t="shared" ref="AC40" si="283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84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85">SUM(BK40:BM40)</f>
        <v>840</v>
      </c>
      <c r="BV40" t="s">
        <v>47</v>
      </c>
      <c r="BW40">
        <v>210</v>
      </c>
      <c r="BX40">
        <v>20</v>
      </c>
      <c r="BY40">
        <f t="shared" ref="BY40" si="286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87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53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50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88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70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71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72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74"/>
        <v>21</v>
      </c>
      <c r="IX40">
        <f>SUM(IU40:IW40)-60</f>
        <v>191</v>
      </c>
      <c r="JJ40" s="1" t="s">
        <v>38</v>
      </c>
      <c r="JK40" t="s">
        <v>212</v>
      </c>
      <c r="JL40">
        <v>185</v>
      </c>
      <c r="JO40">
        <f t="shared" si="265"/>
        <v>185</v>
      </c>
      <c r="JV40" s="1" t="s">
        <v>38</v>
      </c>
      <c r="JW40" t="s">
        <v>212</v>
      </c>
      <c r="JX40">
        <v>185</v>
      </c>
      <c r="KA40">
        <f t="shared" si="266"/>
        <v>185</v>
      </c>
      <c r="KI40" t="s">
        <v>18</v>
      </c>
      <c r="KJ40">
        <f>135-40+130+130+2*22</f>
        <v>399</v>
      </c>
      <c r="KM40">
        <f>SUM(KJ40:KL40)-30</f>
        <v>369</v>
      </c>
      <c r="KT40" s="1" t="s">
        <v>38</v>
      </c>
      <c r="KU40" t="s">
        <v>212</v>
      </c>
      <c r="KV40">
        <v>185</v>
      </c>
      <c r="KY40">
        <f t="shared" si="267"/>
        <v>185</v>
      </c>
    </row>
    <row r="41" spans="2:311">
      <c r="B41" t="s">
        <v>19</v>
      </c>
      <c r="C41">
        <f>330+250+250</f>
        <v>830</v>
      </c>
      <c r="F41">
        <f t="shared" si="263"/>
        <v>830</v>
      </c>
      <c r="N41" t="s">
        <v>19</v>
      </c>
      <c r="O41">
        <f>330+250+250</f>
        <v>830</v>
      </c>
      <c r="R41">
        <f t="shared" si="282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89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85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90">SUM(CU41:CW41)</f>
        <v>51.765000000000001</v>
      </c>
      <c r="DF41" t="s">
        <v>94</v>
      </c>
      <c r="DG41">
        <v>200</v>
      </c>
      <c r="DH41">
        <v>20</v>
      </c>
      <c r="DI41">
        <f t="shared" si="253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91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92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93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94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88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95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  <c r="JJ41" s="1" t="s">
        <v>82</v>
      </c>
      <c r="JK41" t="s">
        <v>96</v>
      </c>
      <c r="JL41">
        <v>240</v>
      </c>
      <c r="JO41">
        <f t="shared" si="265"/>
        <v>240</v>
      </c>
      <c r="JV41" s="1" t="s">
        <v>82</v>
      </c>
      <c r="JW41" t="s">
        <v>96</v>
      </c>
      <c r="JX41">
        <v>240</v>
      </c>
      <c r="KA41">
        <f t="shared" si="266"/>
        <v>240</v>
      </c>
      <c r="KI41" t="s">
        <v>199</v>
      </c>
      <c r="KJ41">
        <f>1.003*209-20</f>
        <v>189.62699999999998</v>
      </c>
      <c r="KK41">
        <v>20</v>
      </c>
      <c r="KL41">
        <f t="shared" ref="KL41" si="296">KJ41*0.1</f>
        <v>18.962699999999998</v>
      </c>
      <c r="KM41">
        <f>SUM(KJ41:KL41)</f>
        <v>228.58969999999999</v>
      </c>
      <c r="KT41" s="1" t="s">
        <v>82</v>
      </c>
      <c r="KU41" t="s">
        <v>96</v>
      </c>
      <c r="KV41">
        <v>240</v>
      </c>
      <c r="KY41">
        <f t="shared" si="267"/>
        <v>240</v>
      </c>
    </row>
    <row r="42" spans="2:311">
      <c r="B42" t="s">
        <v>7</v>
      </c>
      <c r="C42">
        <f>12*SUM(D2:D7)+8*COUNTA(B25:B39)</f>
        <v>612</v>
      </c>
      <c r="F42">
        <f t="shared" si="263"/>
        <v>612</v>
      </c>
      <c r="N42" t="s">
        <v>7</v>
      </c>
      <c r="O42">
        <f>12*SUM(P2:P7)+8*COUNTA(N25:N39)</f>
        <v>600</v>
      </c>
      <c r="R42">
        <f t="shared" si="282"/>
        <v>600</v>
      </c>
      <c r="Z42" t="s">
        <v>19</v>
      </c>
      <c r="AA42">
        <f>330+250+250</f>
        <v>830</v>
      </c>
      <c r="AD42">
        <f t="shared" ref="AD42:AD50" si="297">SUM(AA42:AC42)</f>
        <v>830</v>
      </c>
      <c r="AL42" t="s">
        <v>7</v>
      </c>
      <c r="AM42">
        <f>12*SUM(AN2:AN7)+8*COUNTA(AL24:AL39)</f>
        <v>632</v>
      </c>
      <c r="AP42">
        <f t="shared" si="289"/>
        <v>632</v>
      </c>
      <c r="AX42" t="s">
        <v>19</v>
      </c>
      <c r="AY42">
        <f>330+250+250</f>
        <v>830</v>
      </c>
      <c r="BB42">
        <f t="shared" ref="BB42:BB50" si="298">SUM(AY42:BA42)</f>
        <v>830</v>
      </c>
      <c r="BJ42" t="s">
        <v>20</v>
      </c>
      <c r="BK42">
        <v>15</v>
      </c>
      <c r="BN42">
        <f t="shared" si="285"/>
        <v>15</v>
      </c>
      <c r="BV42" t="s">
        <v>76</v>
      </c>
      <c r="BW42">
        <f>0.986*21*2.5</f>
        <v>51.765000000000001</v>
      </c>
      <c r="BZ42">
        <f t="shared" ref="BZ42:BZ53" si="299">SUM(BW42:BY42)</f>
        <v>51.765000000000001</v>
      </c>
      <c r="CH42" t="s">
        <v>76</v>
      </c>
      <c r="CI42">
        <f>0.986*21*2.5</f>
        <v>51.765000000000001</v>
      </c>
      <c r="CL42">
        <f t="shared" ref="CL42:CL53" si="300">SUM(CI42:CK42)</f>
        <v>51.765000000000001</v>
      </c>
      <c r="CT42" t="s">
        <v>19</v>
      </c>
      <c r="CU42">
        <f>320+270+250</f>
        <v>840</v>
      </c>
      <c r="CX42">
        <f t="shared" si="290"/>
        <v>840</v>
      </c>
      <c r="DF42" t="s">
        <v>47</v>
      </c>
      <c r="DG42">
        <v>220</v>
      </c>
      <c r="DH42">
        <v>20</v>
      </c>
      <c r="DI42">
        <f t="shared" ref="DI42" si="301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302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93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94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88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95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  <c r="JJ42" s="1" t="s">
        <v>39</v>
      </c>
      <c r="JK42" t="s">
        <v>204</v>
      </c>
      <c r="JL42">
        <v>245</v>
      </c>
      <c r="JO42">
        <f t="shared" si="265"/>
        <v>245</v>
      </c>
      <c r="JV42" s="1" t="s">
        <v>39</v>
      </c>
      <c r="JW42" t="s">
        <v>204</v>
      </c>
      <c r="JX42">
        <v>245</v>
      </c>
      <c r="KA42">
        <f t="shared" si="266"/>
        <v>245</v>
      </c>
      <c r="KI42" t="s">
        <v>19</v>
      </c>
      <c r="KJ42">
        <f>270+250+250+105+60</f>
        <v>935</v>
      </c>
      <c r="KM42">
        <f t="shared" ref="KM42:KM54" si="303">SUM(KJ42:KL42)</f>
        <v>935</v>
      </c>
      <c r="KT42" s="1" t="s">
        <v>39</v>
      </c>
      <c r="KU42" t="s">
        <v>204</v>
      </c>
      <c r="KV42">
        <v>245</v>
      </c>
      <c r="KY42">
        <f t="shared" si="267"/>
        <v>245</v>
      </c>
    </row>
    <row r="43" spans="2:311">
      <c r="B43" t="s">
        <v>20</v>
      </c>
      <c r="C43">
        <v>15</v>
      </c>
      <c r="F43">
        <f t="shared" si="263"/>
        <v>15</v>
      </c>
      <c r="N43" t="s">
        <v>20</v>
      </c>
      <c r="O43">
        <v>15</v>
      </c>
      <c r="R43">
        <f t="shared" si="282"/>
        <v>15</v>
      </c>
      <c r="Z43" t="s">
        <v>7</v>
      </c>
      <c r="AA43">
        <f>12*SUM(AB2:AB7)+8*COUNTA(Z25:Z40)</f>
        <v>608</v>
      </c>
      <c r="AD43">
        <f t="shared" si="297"/>
        <v>608</v>
      </c>
      <c r="AL43" t="s">
        <v>20</v>
      </c>
      <c r="AM43">
        <v>15</v>
      </c>
      <c r="AP43">
        <f t="shared" si="289"/>
        <v>15</v>
      </c>
      <c r="AX43" t="s">
        <v>7</v>
      </c>
      <c r="AY43">
        <f>12*SUM(AZ2:AZ7)+8*COUNTA(AX25:AX40)</f>
        <v>632</v>
      </c>
      <c r="BB43">
        <f t="shared" si="298"/>
        <v>632</v>
      </c>
      <c r="BJ43" t="s">
        <v>40</v>
      </c>
      <c r="BK43">
        <v>35</v>
      </c>
      <c r="BN43">
        <f t="shared" si="285"/>
        <v>35</v>
      </c>
      <c r="BV43" t="s">
        <v>19</v>
      </c>
      <c r="BW43">
        <f>320+270+250</f>
        <v>840</v>
      </c>
      <c r="BZ43">
        <f t="shared" si="299"/>
        <v>840</v>
      </c>
      <c r="CH43" t="s">
        <v>19</v>
      </c>
      <c r="CI43">
        <f>320+270+250</f>
        <v>840</v>
      </c>
      <c r="CL43">
        <f t="shared" si="300"/>
        <v>840</v>
      </c>
      <c r="CT43" t="s">
        <v>7</v>
      </c>
      <c r="CU43">
        <f>(0.6*SUM(CV2:CV7)+0.4*COUNTA(CT26:CT39))*21</f>
        <v>583.80000000000007</v>
      </c>
      <c r="CX43">
        <f t="shared" si="290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92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302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304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305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306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307">IU43*0.1</f>
        <v>22</v>
      </c>
      <c r="IX43">
        <f>SUM(IU43:IW43)</f>
        <v>262</v>
      </c>
      <c r="JJ43" s="1" t="s">
        <v>198</v>
      </c>
      <c r="JK43" t="s">
        <v>205</v>
      </c>
      <c r="JL43">
        <v>230</v>
      </c>
      <c r="JO43">
        <f t="shared" si="265"/>
        <v>230</v>
      </c>
      <c r="JV43" s="1" t="s">
        <v>198</v>
      </c>
      <c r="JW43" t="s">
        <v>205</v>
      </c>
      <c r="JX43">
        <v>230</v>
      </c>
      <c r="KA43">
        <f t="shared" si="266"/>
        <v>230</v>
      </c>
      <c r="KI43" t="s">
        <v>7</v>
      </c>
      <c r="KJ43">
        <f>(0.63*SUM(KK2:KK8)+0.43*COUNTA(KI28:KI39))*21*1.1</f>
        <v>730.42200000000003</v>
      </c>
      <c r="KM43">
        <f t="shared" si="303"/>
        <v>730.42200000000003</v>
      </c>
      <c r="KT43" s="1" t="s">
        <v>198</v>
      </c>
      <c r="KU43" t="s">
        <v>205</v>
      </c>
      <c r="KV43">
        <v>230</v>
      </c>
      <c r="KY43">
        <f t="shared" si="267"/>
        <v>230</v>
      </c>
    </row>
    <row r="44" spans="2:311">
      <c r="B44" t="s">
        <v>40</v>
      </c>
      <c r="C44">
        <f>21.725/5*3*3</f>
        <v>39.105000000000004</v>
      </c>
      <c r="F44">
        <f t="shared" si="263"/>
        <v>39.105000000000004</v>
      </c>
      <c r="N44" t="s">
        <v>40</v>
      </c>
      <c r="O44">
        <v>30</v>
      </c>
      <c r="R44">
        <f t="shared" si="282"/>
        <v>30</v>
      </c>
      <c r="Z44" t="s">
        <v>20</v>
      </c>
      <c r="AA44">
        <v>15</v>
      </c>
      <c r="AD44">
        <f t="shared" si="297"/>
        <v>15</v>
      </c>
      <c r="AL44" t="s">
        <v>40</v>
      </c>
      <c r="AM44">
        <v>30</v>
      </c>
      <c r="AP44">
        <f t="shared" si="289"/>
        <v>30</v>
      </c>
      <c r="AX44" t="s">
        <v>20</v>
      </c>
      <c r="AY44">
        <v>15</v>
      </c>
      <c r="BB44">
        <f t="shared" si="298"/>
        <v>15</v>
      </c>
      <c r="BJ44" t="s">
        <v>21</v>
      </c>
      <c r="BK44">
        <v>10</v>
      </c>
      <c r="BN44">
        <f t="shared" si="285"/>
        <v>10</v>
      </c>
      <c r="BV44" t="s">
        <v>7</v>
      </c>
      <c r="BW44">
        <f>(0.6*SUM(BX2:BX7)+0.4*COUNTA(BV26:BV40))*21</f>
        <v>579.59999999999991</v>
      </c>
      <c r="BZ44">
        <f t="shared" si="299"/>
        <v>579.59999999999991</v>
      </c>
      <c r="CH44" t="s">
        <v>7</v>
      </c>
      <c r="CI44">
        <f>(0.6*SUM(CJ2:CJ7)+0.4*COUNTA(CH26:CH40))*21</f>
        <v>592.19999999999993</v>
      </c>
      <c r="CL44">
        <f t="shared" si="300"/>
        <v>592.19999999999993</v>
      </c>
      <c r="CT44" t="s">
        <v>20</v>
      </c>
      <c r="CU44">
        <v>15</v>
      </c>
      <c r="CX44">
        <f t="shared" si="290"/>
        <v>15</v>
      </c>
      <c r="DF44" t="s">
        <v>76</v>
      </c>
      <c r="DG44">
        <f>0.986*21*2.5</f>
        <v>51.765000000000001</v>
      </c>
      <c r="DJ44">
        <f t="shared" ref="DJ44:DJ55" si="308">SUM(DG44:DI44)</f>
        <v>51.765000000000001</v>
      </c>
      <c r="DR44" t="s">
        <v>19</v>
      </c>
      <c r="DS44">
        <f>270+250+250+150+15</f>
        <v>935</v>
      </c>
      <c r="DV44">
        <f t="shared" ref="DV44:DV55" si="309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304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305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306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310">II44*0.1</f>
        <v>20</v>
      </c>
      <c r="IT44" t="s">
        <v>116</v>
      </c>
      <c r="IU44">
        <v>200</v>
      </c>
      <c r="IV44">
        <v>20</v>
      </c>
      <c r="IW44">
        <f t="shared" si="307"/>
        <v>20</v>
      </c>
      <c r="JK44" t="s">
        <v>200</v>
      </c>
      <c r="JL44">
        <v>300</v>
      </c>
      <c r="JO44">
        <f t="shared" si="265"/>
        <v>300</v>
      </c>
      <c r="JW44" t="s">
        <v>200</v>
      </c>
      <c r="JX44">
        <v>300</v>
      </c>
      <c r="KA44">
        <f t="shared" si="266"/>
        <v>300</v>
      </c>
      <c r="KI44" t="s">
        <v>20</v>
      </c>
      <c r="KJ44">
        <v>15</v>
      </c>
      <c r="KM44">
        <f t="shared" si="303"/>
        <v>15</v>
      </c>
      <c r="KU44" t="s">
        <v>200</v>
      </c>
      <c r="KV44">
        <v>300</v>
      </c>
      <c r="KY44">
        <f t="shared" si="267"/>
        <v>300</v>
      </c>
    </row>
    <row r="45" spans="2:311">
      <c r="B45" t="s">
        <v>21</v>
      </c>
      <c r="C45">
        <v>10</v>
      </c>
      <c r="F45">
        <f t="shared" si="263"/>
        <v>10</v>
      </c>
      <c r="N45" t="s">
        <v>21</v>
      </c>
      <c r="O45">
        <v>10</v>
      </c>
      <c r="R45">
        <f t="shared" si="282"/>
        <v>10</v>
      </c>
      <c r="Z45" t="s">
        <v>40</v>
      </c>
      <c r="AA45">
        <v>30</v>
      </c>
      <c r="AD45">
        <f t="shared" si="297"/>
        <v>30</v>
      </c>
      <c r="AL45" t="s">
        <v>21</v>
      </c>
      <c r="AM45">
        <v>10</v>
      </c>
      <c r="AP45">
        <f t="shared" si="289"/>
        <v>10</v>
      </c>
      <c r="AX45" t="s">
        <v>40</v>
      </c>
      <c r="AY45">
        <v>30</v>
      </c>
      <c r="BB45">
        <f t="shared" si="298"/>
        <v>30</v>
      </c>
      <c r="BJ45" t="s">
        <v>22</v>
      </c>
      <c r="BK45">
        <v>200</v>
      </c>
      <c r="BN45">
        <f t="shared" si="285"/>
        <v>200</v>
      </c>
      <c r="BV45" t="s">
        <v>20</v>
      </c>
      <c r="BW45">
        <v>15</v>
      </c>
      <c r="BZ45">
        <f t="shared" si="299"/>
        <v>15</v>
      </c>
      <c r="CH45" t="s">
        <v>20</v>
      </c>
      <c r="CI45">
        <v>15</v>
      </c>
      <c r="CL45">
        <f t="shared" si="300"/>
        <v>15</v>
      </c>
      <c r="CT45" t="s">
        <v>40</v>
      </c>
      <c r="CU45">
        <v>31.5</v>
      </c>
      <c r="CX45">
        <f t="shared" si="290"/>
        <v>31.5</v>
      </c>
      <c r="DF45" t="s">
        <v>19</v>
      </c>
      <c r="DG45">
        <f>320+250+250+250</f>
        <v>1070</v>
      </c>
      <c r="DJ45">
        <f t="shared" si="308"/>
        <v>1070</v>
      </c>
      <c r="DR45" t="s">
        <v>7</v>
      </c>
      <c r="DS45">
        <f>(0.63*SUM(DT2:DT8)+0.43*COUNTA(DR29:DR41))*21*1.1</f>
        <v>711.24900000000014</v>
      </c>
      <c r="DV45">
        <f t="shared" si="309"/>
        <v>711.24900000000014</v>
      </c>
      <c r="ED45" t="s">
        <v>76</v>
      </c>
      <c r="EE45">
        <f>0.986*21*2.5</f>
        <v>51.765000000000001</v>
      </c>
      <c r="EH45">
        <f t="shared" ref="EH45:EH56" si="311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312">SUM(FC45:FE45)</f>
        <v>935</v>
      </c>
      <c r="FN45" t="s">
        <v>19</v>
      </c>
      <c r="FO45">
        <f>270+250+250+105+60</f>
        <v>935</v>
      </c>
      <c r="FR45">
        <f t="shared" ref="FR45:FR57" si="313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314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315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  <c r="JK45" t="s">
        <v>18</v>
      </c>
      <c r="JL45">
        <f>135-40+135+135+20+45</f>
        <v>430</v>
      </c>
      <c r="JO45">
        <f>SUM(JL45:JN45)-30</f>
        <v>400</v>
      </c>
      <c r="JW45" t="s">
        <v>18</v>
      </c>
      <c r="JX45">
        <f>135-40+135+135+135</f>
        <v>500</v>
      </c>
      <c r="KA45">
        <f>SUM(JX45:JZ45)-30</f>
        <v>470</v>
      </c>
      <c r="KI45" t="s">
        <v>40</v>
      </c>
      <c r="KJ45">
        <v>31.5</v>
      </c>
      <c r="KM45">
        <f t="shared" si="303"/>
        <v>31.5</v>
      </c>
      <c r="KU45" t="s">
        <v>18</v>
      </c>
      <c r="KV45">
        <f>135-40+135+135+45</f>
        <v>410</v>
      </c>
      <c r="KY45">
        <f>SUM(KV45:KX45)-30</f>
        <v>380</v>
      </c>
    </row>
    <row r="46" spans="2:311">
      <c r="B46" t="s">
        <v>22</v>
      </c>
      <c r="C46">
        <v>200</v>
      </c>
      <c r="F46">
        <f t="shared" si="263"/>
        <v>200</v>
      </c>
      <c r="N46" t="s">
        <v>22</v>
      </c>
      <c r="O46">
        <v>200</v>
      </c>
      <c r="R46">
        <f t="shared" si="282"/>
        <v>200</v>
      </c>
      <c r="Z46" t="s">
        <v>21</v>
      </c>
      <c r="AA46">
        <v>10</v>
      </c>
      <c r="AD46">
        <f t="shared" si="297"/>
        <v>10</v>
      </c>
      <c r="AL46" t="s">
        <v>22</v>
      </c>
      <c r="AM46">
        <v>200</v>
      </c>
      <c r="AP46">
        <f t="shared" si="289"/>
        <v>200</v>
      </c>
      <c r="AX46" t="s">
        <v>21</v>
      </c>
      <c r="AY46">
        <v>10</v>
      </c>
      <c r="BB46">
        <f t="shared" si="298"/>
        <v>10</v>
      </c>
      <c r="BJ46" t="s">
        <v>23</v>
      </c>
      <c r="BK46">
        <v>55</v>
      </c>
      <c r="BN46">
        <f t="shared" si="285"/>
        <v>55</v>
      </c>
      <c r="BV46" t="s">
        <v>40</v>
      </c>
      <c r="BW46">
        <v>31.5</v>
      </c>
      <c r="BZ46">
        <f t="shared" si="299"/>
        <v>31.5</v>
      </c>
      <c r="CH46" t="s">
        <v>40</v>
      </c>
      <c r="CI46">
        <v>31.5</v>
      </c>
      <c r="CL46">
        <f t="shared" si="300"/>
        <v>31.5</v>
      </c>
      <c r="CT46" t="s">
        <v>21</v>
      </c>
      <c r="CU46">
        <v>10</v>
      </c>
      <c r="CX46">
        <f t="shared" si="290"/>
        <v>10</v>
      </c>
      <c r="DF46" t="s">
        <v>7</v>
      </c>
      <c r="DG46">
        <f>(0.6*SUM(DH2:DH8)+0.4*COUNTA(DF30:DF42))*21</f>
        <v>575.4</v>
      </c>
      <c r="DJ46">
        <f t="shared" si="308"/>
        <v>575.4</v>
      </c>
      <c r="DR46" t="s">
        <v>20</v>
      </c>
      <c r="DS46">
        <v>15</v>
      </c>
      <c r="DV46">
        <f t="shared" si="309"/>
        <v>15</v>
      </c>
      <c r="ED46" t="s">
        <v>19</v>
      </c>
      <c r="EE46">
        <f>320+250+250+250</f>
        <v>1070</v>
      </c>
      <c r="EH46">
        <f t="shared" si="311"/>
        <v>1070</v>
      </c>
      <c r="EP46" t="s">
        <v>19</v>
      </c>
      <c r="EQ46">
        <f>270+250+250+105+60+60</f>
        <v>995</v>
      </c>
      <c r="ET46">
        <f t="shared" ref="ET46:ET58" si="316">SUM(EQ46:ES46)</f>
        <v>995</v>
      </c>
      <c r="FB46" t="s">
        <v>7</v>
      </c>
      <c r="FC46">
        <f>(0.63*SUM(FD2:FD8)+0.43*COUNTA(FB28:FB42))*21*1.1</f>
        <v>687.45600000000002</v>
      </c>
      <c r="FF46">
        <f t="shared" si="312"/>
        <v>687.45600000000002</v>
      </c>
      <c r="FN46" t="s">
        <v>7</v>
      </c>
      <c r="FO46">
        <f>(0.63*SUM(FP2:FP8)+0.43*COUNTA(FN28:FN42))*21*1.1</f>
        <v>658.35</v>
      </c>
      <c r="FR46">
        <f t="shared" si="313"/>
        <v>658.35</v>
      </c>
      <c r="FZ46" t="s">
        <v>116</v>
      </c>
      <c r="GA46">
        <v>200</v>
      </c>
      <c r="GB46">
        <v>20</v>
      </c>
      <c r="GC46">
        <f t="shared" si="314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315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  <c r="JK46" t="s">
        <v>199</v>
      </c>
      <c r="JL46">
        <f>1.003*209-20</f>
        <v>189.62699999999998</v>
      </c>
      <c r="JM46">
        <v>20</v>
      </c>
      <c r="JN46">
        <f t="shared" ref="JN46" si="317">JL46*0.1</f>
        <v>18.962699999999998</v>
      </c>
      <c r="JO46">
        <f>SUM(JL46:JN46)</f>
        <v>228.58969999999999</v>
      </c>
      <c r="JW46" t="s">
        <v>199</v>
      </c>
      <c r="JX46">
        <f>1.003*209-20</f>
        <v>189.62699999999998</v>
      </c>
      <c r="JY46">
        <v>20</v>
      </c>
      <c r="JZ46">
        <f t="shared" ref="JZ46" si="318">JX46*0.1</f>
        <v>18.962699999999998</v>
      </c>
      <c r="KA46">
        <f>SUM(JX46:JZ46)</f>
        <v>228.58969999999999</v>
      </c>
      <c r="KI46" t="s">
        <v>21</v>
      </c>
      <c r="KJ46">
        <v>10</v>
      </c>
      <c r="KM46">
        <f t="shared" si="303"/>
        <v>10</v>
      </c>
      <c r="KU46" t="s">
        <v>199</v>
      </c>
      <c r="KV46">
        <f>1.032*209</f>
        <v>215.68800000000002</v>
      </c>
      <c r="KY46">
        <f>SUM(KV46:KX46)</f>
        <v>215.68800000000002</v>
      </c>
    </row>
    <row r="47" spans="2:311">
      <c r="B47" t="s">
        <v>23</v>
      </c>
      <c r="C47">
        <v>55</v>
      </c>
      <c r="F47">
        <f t="shared" si="263"/>
        <v>55</v>
      </c>
      <c r="N47" t="s">
        <v>23</v>
      </c>
      <c r="O47">
        <v>55</v>
      </c>
      <c r="R47">
        <f t="shared" si="282"/>
        <v>55</v>
      </c>
      <c r="Z47" t="s">
        <v>22</v>
      </c>
      <c r="AA47">
        <v>200</v>
      </c>
      <c r="AD47">
        <f t="shared" si="297"/>
        <v>200</v>
      </c>
      <c r="AL47" t="s">
        <v>23</v>
      </c>
      <c r="AM47">
        <v>55</v>
      </c>
      <c r="AP47">
        <f t="shared" si="289"/>
        <v>55</v>
      </c>
      <c r="AX47" t="s">
        <v>22</v>
      </c>
      <c r="AY47">
        <v>200</v>
      </c>
      <c r="BB47">
        <f t="shared" si="298"/>
        <v>200</v>
      </c>
      <c r="BJ47" t="s">
        <v>24</v>
      </c>
      <c r="BK47">
        <v>1080</v>
      </c>
      <c r="BN47">
        <f t="shared" si="285"/>
        <v>1080</v>
      </c>
      <c r="BV47" t="s">
        <v>21</v>
      </c>
      <c r="BW47">
        <v>10</v>
      </c>
      <c r="BZ47">
        <f t="shared" si="299"/>
        <v>10</v>
      </c>
      <c r="CH47" t="s">
        <v>21</v>
      </c>
      <c r="CI47">
        <v>10</v>
      </c>
      <c r="CL47">
        <f t="shared" si="300"/>
        <v>10</v>
      </c>
      <c r="CT47" t="s">
        <v>22</v>
      </c>
      <c r="CU47">
        <v>200</v>
      </c>
      <c r="CX47">
        <f t="shared" si="290"/>
        <v>200</v>
      </c>
      <c r="DF47" t="s">
        <v>20</v>
      </c>
      <c r="DG47">
        <v>15</v>
      </c>
      <c r="DJ47">
        <f t="shared" si="308"/>
        <v>15</v>
      </c>
      <c r="DR47" t="s">
        <v>40</v>
      </c>
      <c r="DS47">
        <v>31.5</v>
      </c>
      <c r="DV47">
        <f t="shared" si="309"/>
        <v>31.5</v>
      </c>
      <c r="ED47" t="s">
        <v>7</v>
      </c>
      <c r="EE47">
        <f>(0.6*SUM(EF2:EF8)+0.4*COUNTA(ED29:ED43))*21</f>
        <v>617.4</v>
      </c>
      <c r="EH47">
        <f t="shared" si="311"/>
        <v>617.4</v>
      </c>
      <c r="EP47" t="s">
        <v>7</v>
      </c>
      <c r="EQ47">
        <f>(0.63*SUM(ER2:ER8)+0.43*COUNTA(EP29:EP43))*21*1.1</f>
        <v>716.56200000000001</v>
      </c>
      <c r="ET47">
        <f t="shared" si="316"/>
        <v>716.56200000000001</v>
      </c>
      <c r="FB47" t="s">
        <v>20</v>
      </c>
      <c r="FC47">
        <v>15</v>
      </c>
      <c r="FF47">
        <f t="shared" si="312"/>
        <v>15</v>
      </c>
      <c r="FN47" t="s">
        <v>20</v>
      </c>
      <c r="FO47">
        <v>15</v>
      </c>
      <c r="FR47">
        <f t="shared" si="313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315"/>
        <v>15</v>
      </c>
      <c r="GX47" t="s">
        <v>19</v>
      </c>
      <c r="GY47">
        <f>270+250+250+105+60</f>
        <v>935</v>
      </c>
      <c r="HB47">
        <f t="shared" ref="HB47:HB59" si="319">SUM(GY47:HA47)</f>
        <v>935</v>
      </c>
      <c r="HJ47" t="s">
        <v>19</v>
      </c>
      <c r="HK47">
        <f>270+250+250+105+60</f>
        <v>935</v>
      </c>
      <c r="HN47">
        <f t="shared" ref="HN47:HN59" si="320">SUM(HK47:HM47)</f>
        <v>935</v>
      </c>
      <c r="HV47" t="s">
        <v>19</v>
      </c>
      <c r="HW47">
        <f>270+250+250+105+60</f>
        <v>935</v>
      </c>
      <c r="HZ47">
        <f t="shared" ref="HZ47:HZ59" si="321">SUM(HW47:HY47)</f>
        <v>935</v>
      </c>
      <c r="IH47" t="s">
        <v>19</v>
      </c>
      <c r="II47">
        <f>270+250+250+105+60</f>
        <v>935</v>
      </c>
      <c r="IL47">
        <f t="shared" ref="IL47:IL59" si="322">SUM(II47:IK47)</f>
        <v>935</v>
      </c>
      <c r="IT47" t="s">
        <v>19</v>
      </c>
      <c r="IU47">
        <f>270+250+250+105+60</f>
        <v>935</v>
      </c>
      <c r="IX47">
        <f t="shared" ref="IX47:IX59" si="323">SUM(IU47:IW47)</f>
        <v>935</v>
      </c>
      <c r="JK47" t="s">
        <v>19</v>
      </c>
      <c r="JL47">
        <f>250+250+270+60+100</f>
        <v>930</v>
      </c>
      <c r="JO47">
        <f t="shared" ref="JO47:JO60" si="324">SUM(JL47:JN47)</f>
        <v>930</v>
      </c>
      <c r="JW47" t="s">
        <v>19</v>
      </c>
      <c r="JX47">
        <f>250+250+250+250</f>
        <v>1000</v>
      </c>
      <c r="KA47">
        <f t="shared" ref="KA47:KA61" si="325">SUM(JX47:JZ47)</f>
        <v>1000</v>
      </c>
      <c r="KI47" t="s">
        <v>22</v>
      </c>
      <c r="KJ47">
        <v>300</v>
      </c>
      <c r="KM47">
        <f t="shared" si="303"/>
        <v>300</v>
      </c>
      <c r="KU47" t="s">
        <v>19</v>
      </c>
      <c r="KV47">
        <f>260+260+270+60+100</f>
        <v>950</v>
      </c>
      <c r="KY47">
        <f t="shared" ref="KY47:KY60" si="326">SUM(KV47:KX47)</f>
        <v>950</v>
      </c>
    </row>
    <row r="48" spans="2:311">
      <c r="B48" t="s">
        <v>24</v>
      </c>
      <c r="C48">
        <v>1080</v>
      </c>
      <c r="F48">
        <f t="shared" si="263"/>
        <v>1080</v>
      </c>
      <c r="N48" t="s">
        <v>24</v>
      </c>
      <c r="O48">
        <v>1080</v>
      </c>
      <c r="R48">
        <f t="shared" si="282"/>
        <v>1080</v>
      </c>
      <c r="Z48" t="s">
        <v>23</v>
      </c>
      <c r="AA48">
        <v>55</v>
      </c>
      <c r="AD48">
        <f t="shared" si="297"/>
        <v>55</v>
      </c>
      <c r="AL48" t="s">
        <v>24</v>
      </c>
      <c r="AM48">
        <v>1080</v>
      </c>
      <c r="AP48">
        <f t="shared" si="289"/>
        <v>1080</v>
      </c>
      <c r="AX48" t="s">
        <v>23</v>
      </c>
      <c r="AY48">
        <v>55</v>
      </c>
      <c r="BB48">
        <f t="shared" si="298"/>
        <v>55</v>
      </c>
      <c r="BJ48" t="s">
        <v>28</v>
      </c>
      <c r="BK48">
        <v>70</v>
      </c>
      <c r="BN48">
        <f t="shared" si="285"/>
        <v>70</v>
      </c>
      <c r="BV48" t="s">
        <v>22</v>
      </c>
      <c r="BW48">
        <v>200</v>
      </c>
      <c r="BZ48">
        <f t="shared" si="299"/>
        <v>200</v>
      </c>
      <c r="CH48" t="s">
        <v>22</v>
      </c>
      <c r="CI48">
        <v>200</v>
      </c>
      <c r="CL48">
        <f t="shared" si="300"/>
        <v>200</v>
      </c>
      <c r="CT48" t="s">
        <v>23</v>
      </c>
      <c r="CU48">
        <v>55</v>
      </c>
      <c r="CX48">
        <f t="shared" si="290"/>
        <v>55</v>
      </c>
      <c r="DF48" t="s">
        <v>40</v>
      </c>
      <c r="DG48">
        <v>31.5</v>
      </c>
      <c r="DJ48">
        <f t="shared" si="308"/>
        <v>31.5</v>
      </c>
      <c r="DR48" t="s">
        <v>21</v>
      </c>
      <c r="DS48">
        <v>10</v>
      </c>
      <c r="DV48">
        <f t="shared" si="309"/>
        <v>10</v>
      </c>
      <c r="ED48" t="s">
        <v>20</v>
      </c>
      <c r="EE48">
        <v>15</v>
      </c>
      <c r="EH48">
        <f t="shared" si="311"/>
        <v>15</v>
      </c>
      <c r="EP48" t="s">
        <v>20</v>
      </c>
      <c r="EQ48">
        <v>15</v>
      </c>
      <c r="ET48">
        <f t="shared" si="316"/>
        <v>15</v>
      </c>
      <c r="FB48" t="s">
        <v>40</v>
      </c>
      <c r="FC48">
        <v>31.5</v>
      </c>
      <c r="FF48">
        <f t="shared" si="312"/>
        <v>31.5</v>
      </c>
      <c r="FN48" t="s">
        <v>40</v>
      </c>
      <c r="FO48">
        <v>31.5</v>
      </c>
      <c r="FR48">
        <f t="shared" si="313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315"/>
        <v>31.5</v>
      </c>
      <c r="GX48" t="s">
        <v>7</v>
      </c>
      <c r="GY48">
        <f>(0.63*SUM(GZ2:GZ8)+0.43*COUNTA(GX30:GX44))*21*1.1</f>
        <v>629.24400000000003</v>
      </c>
      <c r="HB48">
        <f t="shared" si="319"/>
        <v>629.24400000000003</v>
      </c>
      <c r="HJ48" t="s">
        <v>7</v>
      </c>
      <c r="HK48">
        <f>(0.63*SUM(HL2:HL8)+0.43*COUNTA(HJ30:HJ44))*21*1.1</f>
        <v>600.13800000000015</v>
      </c>
      <c r="HN48">
        <f t="shared" si="320"/>
        <v>600.13800000000015</v>
      </c>
      <c r="HV48" t="s">
        <v>7</v>
      </c>
      <c r="HW48">
        <f>(0.63*SUM(HX2:HX8)+0.43*COUNTA(HV30:HV44))*21*1.1</f>
        <v>658.35</v>
      </c>
      <c r="HZ48">
        <f t="shared" si="321"/>
        <v>658.35</v>
      </c>
      <c r="IH48" t="s">
        <v>7</v>
      </c>
      <c r="II48">
        <f>(0.63*SUM(IJ2:IJ8)+0.43*COUNTA(IH30:IH44))*21*1.1</f>
        <v>643.79700000000003</v>
      </c>
      <c r="IL48">
        <f t="shared" si="322"/>
        <v>643.79700000000003</v>
      </c>
      <c r="IT48" t="s">
        <v>7</v>
      </c>
      <c r="IU48">
        <f>(0.63*SUM(IV2:IV8)+0.43*COUNTA(IT30:IT44))*21*1.1</f>
        <v>905.75100000000009</v>
      </c>
      <c r="IX48">
        <f t="shared" si="323"/>
        <v>905.75100000000009</v>
      </c>
      <c r="JK48" t="s">
        <v>7</v>
      </c>
      <c r="JL48">
        <f>(0.63*SUM(JM2:JM8)+0.43*COUNTA(JK29:JK44))*21*1.1</f>
        <v>886.57800000000009</v>
      </c>
      <c r="JO48">
        <f t="shared" si="324"/>
        <v>886.57800000000009</v>
      </c>
      <c r="JW48" t="s">
        <v>7</v>
      </c>
      <c r="JX48">
        <f>(0.63*SUM(JY2:JY8)+0.43*COUNTA(JW29:JW44))*21*1.1</f>
        <v>886.57800000000009</v>
      </c>
      <c r="KA48">
        <f t="shared" si="325"/>
        <v>886.57800000000009</v>
      </c>
      <c r="KI48" t="s">
        <v>23</v>
      </c>
      <c r="KJ48">
        <v>55</v>
      </c>
      <c r="KM48">
        <f t="shared" si="303"/>
        <v>55</v>
      </c>
      <c r="KU48" t="s">
        <v>7</v>
      </c>
      <c r="KV48">
        <f>(0.63*SUM(KW2:KW8)+0.43*COUNTA(KU29:KU44)+1)*21*1.1</f>
        <v>866.01900000000012</v>
      </c>
      <c r="KY48">
        <f t="shared" si="326"/>
        <v>866.01900000000012</v>
      </c>
    </row>
    <row r="49" spans="2:316">
      <c r="B49" t="s">
        <v>28</v>
      </c>
      <c r="C49">
        <v>70</v>
      </c>
      <c r="F49">
        <f t="shared" si="263"/>
        <v>70</v>
      </c>
      <c r="N49" t="s">
        <v>28</v>
      </c>
      <c r="O49">
        <v>70</v>
      </c>
      <c r="R49">
        <f t="shared" si="282"/>
        <v>70</v>
      </c>
      <c r="Z49" t="s">
        <v>24</v>
      </c>
      <c r="AA49">
        <v>1080</v>
      </c>
      <c r="AD49">
        <f t="shared" si="297"/>
        <v>1080</v>
      </c>
      <c r="AL49" t="s">
        <v>28</v>
      </c>
      <c r="AM49">
        <v>70</v>
      </c>
      <c r="AP49">
        <f t="shared" si="289"/>
        <v>70</v>
      </c>
      <c r="AX49" t="s">
        <v>24</v>
      </c>
      <c r="AY49">
        <v>1080</v>
      </c>
      <c r="BB49">
        <f t="shared" si="298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99"/>
        <v>55</v>
      </c>
      <c r="CH49" t="s">
        <v>23</v>
      </c>
      <c r="CI49">
        <v>55</v>
      </c>
      <c r="CL49">
        <f t="shared" si="300"/>
        <v>55</v>
      </c>
      <c r="CT49" t="s">
        <v>24</v>
      </c>
      <c r="CU49">
        <v>1080</v>
      </c>
      <c r="CX49">
        <f t="shared" si="290"/>
        <v>1080</v>
      </c>
      <c r="DF49" t="s">
        <v>21</v>
      </c>
      <c r="DG49">
        <v>10</v>
      </c>
      <c r="DJ49">
        <f t="shared" si="308"/>
        <v>10</v>
      </c>
      <c r="DR49" t="s">
        <v>22</v>
      </c>
      <c r="DS49">
        <v>200</v>
      </c>
      <c r="DV49">
        <f t="shared" si="309"/>
        <v>200</v>
      </c>
      <c r="ED49" t="s">
        <v>40</v>
      </c>
      <c r="EE49">
        <v>31.5</v>
      </c>
      <c r="EH49">
        <f t="shared" si="311"/>
        <v>31.5</v>
      </c>
      <c r="EP49" t="s">
        <v>40</v>
      </c>
      <c r="EQ49">
        <v>31.5</v>
      </c>
      <c r="ET49">
        <f t="shared" si="316"/>
        <v>31.5</v>
      </c>
      <c r="FB49" t="s">
        <v>21</v>
      </c>
      <c r="FC49">
        <v>10</v>
      </c>
      <c r="FF49">
        <f t="shared" si="312"/>
        <v>10</v>
      </c>
      <c r="FN49" t="s">
        <v>21</v>
      </c>
      <c r="FO49">
        <v>10</v>
      </c>
      <c r="FR49">
        <f t="shared" si="313"/>
        <v>10</v>
      </c>
      <c r="FZ49" t="s">
        <v>19</v>
      </c>
      <c r="GA49">
        <f>270+250+250+105+60</f>
        <v>935</v>
      </c>
      <c r="GD49">
        <f t="shared" ref="GD49:GD61" si="327">SUM(GA49:GC49)</f>
        <v>935</v>
      </c>
      <c r="GL49" t="s">
        <v>21</v>
      </c>
      <c r="GM49">
        <v>10</v>
      </c>
      <c r="GP49">
        <f t="shared" si="315"/>
        <v>10</v>
      </c>
      <c r="GX49" t="s">
        <v>20</v>
      </c>
      <c r="GY49">
        <v>15</v>
      </c>
      <c r="HB49">
        <f t="shared" si="319"/>
        <v>15</v>
      </c>
      <c r="HJ49" t="s">
        <v>20</v>
      </c>
      <c r="HK49">
        <v>15</v>
      </c>
      <c r="HN49">
        <f t="shared" si="320"/>
        <v>15</v>
      </c>
      <c r="HV49" t="s">
        <v>20</v>
      </c>
      <c r="HW49">
        <v>15</v>
      </c>
      <c r="HZ49">
        <f t="shared" si="321"/>
        <v>15</v>
      </c>
      <c r="IH49" t="s">
        <v>20</v>
      </c>
      <c r="II49">
        <v>15</v>
      </c>
      <c r="IL49">
        <f t="shared" si="322"/>
        <v>15</v>
      </c>
      <c r="IT49" t="s">
        <v>20</v>
      </c>
      <c r="IU49">
        <v>15</v>
      </c>
      <c r="IX49">
        <f t="shared" si="323"/>
        <v>15</v>
      </c>
      <c r="JK49" t="s">
        <v>20</v>
      </c>
      <c r="JL49">
        <v>15</v>
      </c>
      <c r="JO49">
        <f t="shared" si="324"/>
        <v>15</v>
      </c>
      <c r="JW49" t="s">
        <v>20</v>
      </c>
      <c r="JX49">
        <v>15</v>
      </c>
      <c r="KA49">
        <f t="shared" si="325"/>
        <v>15</v>
      </c>
      <c r="KI49" t="s">
        <v>24</v>
      </c>
      <c r="KJ49">
        <v>1080</v>
      </c>
      <c r="KM49">
        <f t="shared" si="303"/>
        <v>1080</v>
      </c>
      <c r="KU49" t="s">
        <v>20</v>
      </c>
      <c r="KV49">
        <v>15</v>
      </c>
      <c r="KY49">
        <f t="shared" si="326"/>
        <v>15</v>
      </c>
    </row>
    <row r="50" spans="2:316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97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98"/>
        <v>70</v>
      </c>
      <c r="BJ50" t="s">
        <v>29</v>
      </c>
      <c r="BK50">
        <v>50</v>
      </c>
      <c r="BN50">
        <f t="shared" ref="BN50" si="328">SUM(BK50:BM50)</f>
        <v>50</v>
      </c>
      <c r="BV50" t="s">
        <v>24</v>
      </c>
      <c r="BW50">
        <v>1080</v>
      </c>
      <c r="BZ50">
        <f t="shared" si="299"/>
        <v>1080</v>
      </c>
      <c r="CH50" t="s">
        <v>24</v>
      </c>
      <c r="CI50">
        <v>1080</v>
      </c>
      <c r="CL50">
        <f t="shared" si="300"/>
        <v>1080</v>
      </c>
      <c r="CT50" t="s">
        <v>75</v>
      </c>
      <c r="CU50">
        <v>40</v>
      </c>
      <c r="CX50">
        <f t="shared" si="290"/>
        <v>40</v>
      </c>
      <c r="DF50" t="s">
        <v>22</v>
      </c>
      <c r="DG50">
        <v>200</v>
      </c>
      <c r="DJ50">
        <f t="shared" si="308"/>
        <v>200</v>
      </c>
      <c r="DR50" t="s">
        <v>23</v>
      </c>
      <c r="DS50">
        <v>55</v>
      </c>
      <c r="DV50">
        <f t="shared" si="309"/>
        <v>55</v>
      </c>
      <c r="ED50" t="s">
        <v>21</v>
      </c>
      <c r="EE50">
        <v>10</v>
      </c>
      <c r="EH50">
        <f t="shared" si="311"/>
        <v>10</v>
      </c>
      <c r="EP50" t="s">
        <v>21</v>
      </c>
      <c r="EQ50">
        <v>10</v>
      </c>
      <c r="ET50">
        <f t="shared" si="316"/>
        <v>10</v>
      </c>
      <c r="FB50" t="s">
        <v>22</v>
      </c>
      <c r="FC50">
        <v>200</v>
      </c>
      <c r="FF50">
        <f t="shared" si="312"/>
        <v>200</v>
      </c>
      <c r="FN50" t="s">
        <v>22</v>
      </c>
      <c r="FO50">
        <v>200</v>
      </c>
      <c r="FR50">
        <f t="shared" si="313"/>
        <v>200</v>
      </c>
      <c r="FZ50" t="s">
        <v>7</v>
      </c>
      <c r="GA50">
        <f>(0.63*SUM(GB2:GB8)+0.43*COUNTA(FZ32:FZ46))*21*1.1</f>
        <v>702.00900000000013</v>
      </c>
      <c r="GD50">
        <f t="shared" si="327"/>
        <v>702.00900000000013</v>
      </c>
      <c r="GL50" t="s">
        <v>22</v>
      </c>
      <c r="GM50">
        <v>200</v>
      </c>
      <c r="GP50">
        <f t="shared" si="315"/>
        <v>200</v>
      </c>
      <c r="GX50" t="s">
        <v>40</v>
      </c>
      <c r="GY50">
        <v>31.5</v>
      </c>
      <c r="HB50">
        <f t="shared" si="319"/>
        <v>31.5</v>
      </c>
      <c r="HJ50" t="s">
        <v>40</v>
      </c>
      <c r="HK50">
        <v>31.5</v>
      </c>
      <c r="HN50">
        <f t="shared" si="320"/>
        <v>31.5</v>
      </c>
      <c r="HV50" t="s">
        <v>40</v>
      </c>
      <c r="HW50">
        <v>31.5</v>
      </c>
      <c r="HZ50">
        <f t="shared" si="321"/>
        <v>31.5</v>
      </c>
      <c r="IH50" t="s">
        <v>40</v>
      </c>
      <c r="II50">
        <v>31.5</v>
      </c>
      <c r="IL50">
        <f t="shared" si="322"/>
        <v>31.5</v>
      </c>
      <c r="IT50" t="s">
        <v>40</v>
      </c>
      <c r="IU50">
        <v>31.5</v>
      </c>
      <c r="IX50">
        <f t="shared" si="323"/>
        <v>31.5</v>
      </c>
      <c r="JK50" t="s">
        <v>40</v>
      </c>
      <c r="JL50">
        <v>31.5</v>
      </c>
      <c r="JO50">
        <f t="shared" si="324"/>
        <v>31.5</v>
      </c>
      <c r="JW50" t="s">
        <v>40</v>
      </c>
      <c r="JX50">
        <v>31.5</v>
      </c>
      <c r="KA50">
        <f t="shared" si="325"/>
        <v>31.5</v>
      </c>
      <c r="KI50" t="s">
        <v>75</v>
      </c>
      <c r="KM50">
        <f t="shared" si="303"/>
        <v>0</v>
      </c>
      <c r="KU50" t="s">
        <v>40</v>
      </c>
      <c r="KV50">
        <v>31.5</v>
      </c>
      <c r="KY50">
        <f t="shared" si="326"/>
        <v>31.5</v>
      </c>
    </row>
    <row r="51" spans="2:316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329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330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99"/>
        <v>40</v>
      </c>
      <c r="CH51" t="s">
        <v>75</v>
      </c>
      <c r="CI51">
        <v>40</v>
      </c>
      <c r="CL51">
        <f t="shared" si="300"/>
        <v>40</v>
      </c>
      <c r="CT51" t="s">
        <v>74</v>
      </c>
      <c r="CU51">
        <v>20</v>
      </c>
      <c r="CX51">
        <f t="shared" si="290"/>
        <v>20</v>
      </c>
      <c r="DF51" t="s">
        <v>23</v>
      </c>
      <c r="DG51">
        <v>55</v>
      </c>
      <c r="DJ51">
        <f t="shared" si="308"/>
        <v>55</v>
      </c>
      <c r="DR51" t="s">
        <v>24</v>
      </c>
      <c r="DS51">
        <v>1080</v>
      </c>
      <c r="DV51">
        <f t="shared" si="309"/>
        <v>1080</v>
      </c>
      <c r="ED51" t="s">
        <v>22</v>
      </c>
      <c r="EE51">
        <v>200</v>
      </c>
      <c r="EH51">
        <f t="shared" si="311"/>
        <v>200</v>
      </c>
      <c r="EP51" t="s">
        <v>22</v>
      </c>
      <c r="EQ51">
        <v>200</v>
      </c>
      <c r="ET51">
        <f t="shared" si="316"/>
        <v>200</v>
      </c>
      <c r="FB51" t="s">
        <v>23</v>
      </c>
      <c r="FC51">
        <v>55</v>
      </c>
      <c r="FF51">
        <f t="shared" si="312"/>
        <v>55</v>
      </c>
      <c r="FN51" t="s">
        <v>23</v>
      </c>
      <c r="FO51">
        <v>55</v>
      </c>
      <c r="FR51">
        <f t="shared" si="313"/>
        <v>55</v>
      </c>
      <c r="FZ51" t="s">
        <v>20</v>
      </c>
      <c r="GA51">
        <v>15</v>
      </c>
      <c r="GD51">
        <f t="shared" si="327"/>
        <v>15</v>
      </c>
      <c r="GL51" t="s">
        <v>23</v>
      </c>
      <c r="GM51">
        <v>55</v>
      </c>
      <c r="GP51">
        <f t="shared" si="315"/>
        <v>55</v>
      </c>
      <c r="GX51" t="s">
        <v>21</v>
      </c>
      <c r="GY51">
        <v>10</v>
      </c>
      <c r="HB51">
        <f t="shared" si="319"/>
        <v>10</v>
      </c>
      <c r="HJ51" t="s">
        <v>21</v>
      </c>
      <c r="HK51">
        <v>10</v>
      </c>
      <c r="HN51">
        <f t="shared" si="320"/>
        <v>10</v>
      </c>
      <c r="HV51" t="s">
        <v>21</v>
      </c>
      <c r="HW51">
        <v>10</v>
      </c>
      <c r="HZ51">
        <f t="shared" si="321"/>
        <v>10</v>
      </c>
      <c r="IH51" t="s">
        <v>21</v>
      </c>
      <c r="II51">
        <v>10</v>
      </c>
      <c r="IL51">
        <f t="shared" si="322"/>
        <v>10</v>
      </c>
      <c r="IT51" t="s">
        <v>21</v>
      </c>
      <c r="IU51">
        <v>10</v>
      </c>
      <c r="IX51">
        <f t="shared" si="323"/>
        <v>10</v>
      </c>
      <c r="JK51" t="s">
        <v>21</v>
      </c>
      <c r="JL51">
        <v>10</v>
      </c>
      <c r="JO51">
        <f t="shared" si="324"/>
        <v>10</v>
      </c>
      <c r="JW51" t="s">
        <v>21</v>
      </c>
      <c r="JX51">
        <v>10</v>
      </c>
      <c r="KA51">
        <f t="shared" si="325"/>
        <v>10</v>
      </c>
      <c r="KI51" t="s">
        <v>74</v>
      </c>
      <c r="KJ51">
        <v>40</v>
      </c>
      <c r="KM51">
        <f t="shared" si="303"/>
        <v>40</v>
      </c>
      <c r="KU51" t="s">
        <v>21</v>
      </c>
      <c r="KV51">
        <v>10</v>
      </c>
      <c r="KY51">
        <f t="shared" si="326"/>
        <v>10</v>
      </c>
    </row>
    <row r="52" spans="2:316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331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332">SUM(AY52:BA52)</f>
        <v>50</v>
      </c>
      <c r="BJ52" t="s">
        <v>63</v>
      </c>
      <c r="BN52">
        <f t="shared" ref="BN52:BN53" si="333">SUM(BK52:BM52)</f>
        <v>0</v>
      </c>
      <c r="BV52" t="s">
        <v>74</v>
      </c>
      <c r="BW52">
        <v>20</v>
      </c>
      <c r="BZ52">
        <f t="shared" si="299"/>
        <v>20</v>
      </c>
      <c r="CH52" t="s">
        <v>74</v>
      </c>
      <c r="CI52">
        <v>20</v>
      </c>
      <c r="CL52">
        <f t="shared" si="300"/>
        <v>20</v>
      </c>
      <c r="CT52" t="s">
        <v>28</v>
      </c>
      <c r="CU52">
        <v>70</v>
      </c>
      <c r="CX52">
        <f t="shared" si="290"/>
        <v>70</v>
      </c>
      <c r="DF52" t="s">
        <v>24</v>
      </c>
      <c r="DG52">
        <v>1080</v>
      </c>
      <c r="DJ52">
        <f t="shared" si="308"/>
        <v>1080</v>
      </c>
      <c r="DR52" t="s">
        <v>75</v>
      </c>
      <c r="DS52">
        <v>40</v>
      </c>
      <c r="DV52">
        <f t="shared" si="309"/>
        <v>40</v>
      </c>
      <c r="ED52" t="s">
        <v>23</v>
      </c>
      <c r="EE52">
        <v>55</v>
      </c>
      <c r="EH52">
        <f t="shared" si="311"/>
        <v>55</v>
      </c>
      <c r="EP52" t="s">
        <v>23</v>
      </c>
      <c r="EQ52">
        <v>55</v>
      </c>
      <c r="ET52">
        <f t="shared" si="316"/>
        <v>55</v>
      </c>
      <c r="FB52" t="s">
        <v>24</v>
      </c>
      <c r="FC52">
        <v>1080</v>
      </c>
      <c r="FF52">
        <f t="shared" si="312"/>
        <v>1080</v>
      </c>
      <c r="FN52" t="s">
        <v>24</v>
      </c>
      <c r="FO52">
        <v>1080</v>
      </c>
      <c r="FR52">
        <f t="shared" si="313"/>
        <v>1080</v>
      </c>
      <c r="FZ52" t="s">
        <v>40</v>
      </c>
      <c r="GA52">
        <v>31.5</v>
      </c>
      <c r="GD52">
        <f t="shared" si="327"/>
        <v>31.5</v>
      </c>
      <c r="GL52" t="s">
        <v>24</v>
      </c>
      <c r="GM52">
        <v>1080</v>
      </c>
      <c r="GP52">
        <f t="shared" si="315"/>
        <v>1080</v>
      </c>
      <c r="GX52" t="s">
        <v>22</v>
      </c>
      <c r="GY52">
        <v>200</v>
      </c>
      <c r="HB52">
        <f t="shared" si="319"/>
        <v>200</v>
      </c>
      <c r="HJ52" t="s">
        <v>22</v>
      </c>
      <c r="HK52">
        <v>200</v>
      </c>
      <c r="HN52">
        <f t="shared" si="320"/>
        <v>200</v>
      </c>
      <c r="HV52" t="s">
        <v>22</v>
      </c>
      <c r="HW52">
        <v>300</v>
      </c>
      <c r="HZ52">
        <f t="shared" si="321"/>
        <v>300</v>
      </c>
      <c r="IH52" t="s">
        <v>22</v>
      </c>
      <c r="II52">
        <v>300</v>
      </c>
      <c r="IL52">
        <f t="shared" si="322"/>
        <v>300</v>
      </c>
      <c r="IT52" t="s">
        <v>22</v>
      </c>
      <c r="IU52">
        <v>300</v>
      </c>
      <c r="IX52">
        <f t="shared" si="323"/>
        <v>300</v>
      </c>
      <c r="JK52" t="s">
        <v>22</v>
      </c>
      <c r="JL52">
        <v>300</v>
      </c>
      <c r="JO52">
        <f t="shared" si="324"/>
        <v>300</v>
      </c>
      <c r="JW52" t="s">
        <v>22</v>
      </c>
      <c r="JX52">
        <v>300</v>
      </c>
      <c r="KA52">
        <f t="shared" si="325"/>
        <v>300</v>
      </c>
      <c r="KI52" t="s">
        <v>28</v>
      </c>
      <c r="KJ52">
        <v>66</v>
      </c>
      <c r="KM52">
        <f t="shared" si="303"/>
        <v>66</v>
      </c>
      <c r="KU52" t="s">
        <v>22</v>
      </c>
      <c r="KV52">
        <v>250</v>
      </c>
      <c r="KY52">
        <f t="shared" si="326"/>
        <v>250</v>
      </c>
    </row>
    <row r="53" spans="2:316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334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335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333"/>
        <v>38.5</v>
      </c>
      <c r="BV53" t="s">
        <v>28</v>
      </c>
      <c r="BW53">
        <v>70</v>
      </c>
      <c r="BZ53">
        <f t="shared" si="299"/>
        <v>70</v>
      </c>
      <c r="CH53" t="s">
        <v>28</v>
      </c>
      <c r="CI53">
        <v>70</v>
      </c>
      <c r="CL53">
        <f t="shared" si="300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308"/>
        <v>40</v>
      </c>
      <c r="DR53" t="s">
        <v>74</v>
      </c>
      <c r="DS53">
        <v>20</v>
      </c>
      <c r="DV53">
        <f t="shared" si="309"/>
        <v>20</v>
      </c>
      <c r="ED53" t="s">
        <v>24</v>
      </c>
      <c r="EE53">
        <v>1080</v>
      </c>
      <c r="EH53">
        <f t="shared" si="311"/>
        <v>1080</v>
      </c>
      <c r="EP53" t="s">
        <v>24</v>
      </c>
      <c r="EQ53">
        <v>1080</v>
      </c>
      <c r="ET53">
        <f t="shared" si="316"/>
        <v>1080</v>
      </c>
      <c r="FB53" t="s">
        <v>75</v>
      </c>
      <c r="FF53">
        <f t="shared" si="312"/>
        <v>0</v>
      </c>
      <c r="FN53" t="s">
        <v>75</v>
      </c>
      <c r="FR53">
        <f t="shared" si="313"/>
        <v>0</v>
      </c>
      <c r="FZ53" t="s">
        <v>21</v>
      </c>
      <c r="GA53">
        <v>10</v>
      </c>
      <c r="GD53">
        <f t="shared" si="327"/>
        <v>10</v>
      </c>
      <c r="GL53" t="s">
        <v>75</v>
      </c>
      <c r="GP53">
        <f t="shared" si="315"/>
        <v>0</v>
      </c>
      <c r="GX53" t="s">
        <v>23</v>
      </c>
      <c r="GY53">
        <v>55</v>
      </c>
      <c r="HB53">
        <f t="shared" si="319"/>
        <v>55</v>
      </c>
      <c r="HJ53" t="s">
        <v>23</v>
      </c>
      <c r="HK53">
        <v>55</v>
      </c>
      <c r="HN53">
        <f t="shared" si="320"/>
        <v>55</v>
      </c>
      <c r="HV53" t="s">
        <v>23</v>
      </c>
      <c r="HW53">
        <v>55</v>
      </c>
      <c r="HZ53">
        <f t="shared" si="321"/>
        <v>55</v>
      </c>
      <c r="IH53" t="s">
        <v>23</v>
      </c>
      <c r="II53">
        <v>55</v>
      </c>
      <c r="IL53">
        <f t="shared" si="322"/>
        <v>55</v>
      </c>
      <c r="IT53" t="s">
        <v>23</v>
      </c>
      <c r="IU53">
        <v>55</v>
      </c>
      <c r="IX53">
        <f t="shared" si="323"/>
        <v>55</v>
      </c>
      <c r="JK53" t="s">
        <v>23</v>
      </c>
      <c r="JL53">
        <v>55</v>
      </c>
      <c r="JO53">
        <f t="shared" si="324"/>
        <v>55</v>
      </c>
      <c r="JW53" t="s">
        <v>23</v>
      </c>
      <c r="JX53">
        <v>55</v>
      </c>
      <c r="KA53">
        <f t="shared" si="325"/>
        <v>55</v>
      </c>
      <c r="KI53" t="s">
        <v>32</v>
      </c>
      <c r="KJ53">
        <f>16*4</f>
        <v>64</v>
      </c>
      <c r="KM53">
        <f t="shared" si="303"/>
        <v>64</v>
      </c>
      <c r="KU53" t="s">
        <v>23</v>
      </c>
      <c r="KV53">
        <v>55</v>
      </c>
      <c r="KY53">
        <f t="shared" si="326"/>
        <v>55</v>
      </c>
    </row>
    <row r="54" spans="2:316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334"/>
        <v>38.5</v>
      </c>
      <c r="Z54" t="s">
        <v>63</v>
      </c>
      <c r="AA54">
        <v>1.1000000000000001</v>
      </c>
      <c r="AD54">
        <f t="shared" ref="AD54:AD55" si="336">SUM(AA54:AC54)</f>
        <v>1.1000000000000001</v>
      </c>
      <c r="AL54" t="s">
        <v>64</v>
      </c>
      <c r="AM54">
        <v>38.5</v>
      </c>
      <c r="AP54">
        <f t="shared" si="335"/>
        <v>38.5</v>
      </c>
      <c r="AX54" t="s">
        <v>63</v>
      </c>
      <c r="BB54">
        <f t="shared" ref="BB54:BB55" si="337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338">SUM(CU54:CW54)</f>
        <v>50</v>
      </c>
      <c r="DF54" t="s">
        <v>74</v>
      </c>
      <c r="DG54">
        <v>20</v>
      </c>
      <c r="DJ54">
        <f t="shared" si="308"/>
        <v>20</v>
      </c>
      <c r="DR54" t="s">
        <v>28</v>
      </c>
      <c r="DS54">
        <v>70</v>
      </c>
      <c r="DV54">
        <f t="shared" si="309"/>
        <v>70</v>
      </c>
      <c r="ED54" t="s">
        <v>75</v>
      </c>
      <c r="EE54">
        <v>40</v>
      </c>
      <c r="EH54">
        <f t="shared" si="311"/>
        <v>40</v>
      </c>
      <c r="EP54" t="s">
        <v>75</v>
      </c>
      <c r="EQ54">
        <v>22</v>
      </c>
      <c r="ET54">
        <f t="shared" si="316"/>
        <v>22</v>
      </c>
      <c r="FB54" t="s">
        <v>74</v>
      </c>
      <c r="FC54">
        <v>40</v>
      </c>
      <c r="FF54">
        <f t="shared" si="312"/>
        <v>40</v>
      </c>
      <c r="FN54" t="s">
        <v>74</v>
      </c>
      <c r="FO54">
        <v>40</v>
      </c>
      <c r="FR54">
        <f t="shared" si="313"/>
        <v>40</v>
      </c>
      <c r="FZ54" t="s">
        <v>22</v>
      </c>
      <c r="GA54">
        <v>200</v>
      </c>
      <c r="GD54">
        <f t="shared" si="327"/>
        <v>200</v>
      </c>
      <c r="GL54" t="s">
        <v>74</v>
      </c>
      <c r="GM54">
        <v>40</v>
      </c>
      <c r="GP54">
        <f t="shared" si="315"/>
        <v>40</v>
      </c>
      <c r="GX54" t="s">
        <v>24</v>
      </c>
      <c r="GY54">
        <v>1080</v>
      </c>
      <c r="HB54">
        <f t="shared" si="319"/>
        <v>1080</v>
      </c>
      <c r="HJ54" t="s">
        <v>24</v>
      </c>
      <c r="HK54">
        <v>1080</v>
      </c>
      <c r="HN54">
        <f t="shared" si="320"/>
        <v>1080</v>
      </c>
      <c r="HV54" t="s">
        <v>24</v>
      </c>
      <c r="HW54">
        <v>1080</v>
      </c>
      <c r="HZ54">
        <f t="shared" si="321"/>
        <v>1080</v>
      </c>
      <c r="IH54" t="s">
        <v>24</v>
      </c>
      <c r="II54">
        <v>1080</v>
      </c>
      <c r="IL54">
        <f t="shared" si="322"/>
        <v>1080</v>
      </c>
      <c r="IT54" t="s">
        <v>24</v>
      </c>
      <c r="IU54">
        <v>1080</v>
      </c>
      <c r="IX54">
        <f t="shared" si="323"/>
        <v>1080</v>
      </c>
      <c r="JK54" t="s">
        <v>24</v>
      </c>
      <c r="JL54">
        <v>1080</v>
      </c>
      <c r="JO54">
        <f t="shared" si="324"/>
        <v>1080</v>
      </c>
      <c r="JW54" t="s">
        <v>24</v>
      </c>
      <c r="JX54">
        <v>1080</v>
      </c>
      <c r="KA54">
        <f t="shared" si="325"/>
        <v>1080</v>
      </c>
      <c r="KI54" t="s">
        <v>29</v>
      </c>
      <c r="KJ54">
        <v>50</v>
      </c>
      <c r="KM54">
        <f t="shared" si="303"/>
        <v>50</v>
      </c>
      <c r="KU54" t="s">
        <v>24</v>
      </c>
      <c r="KV54">
        <v>1080</v>
      </c>
      <c r="KY54">
        <f t="shared" si="326"/>
        <v>1080</v>
      </c>
    </row>
    <row r="55" spans="2:316">
      <c r="Z55" t="s">
        <v>64</v>
      </c>
      <c r="AA55">
        <v>38.5</v>
      </c>
      <c r="AD55">
        <f t="shared" si="336"/>
        <v>38.5</v>
      </c>
      <c r="AX55" t="s">
        <v>64</v>
      </c>
      <c r="AY55">
        <v>38.5</v>
      </c>
      <c r="BB55">
        <f t="shared" si="337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339">SUM(BW55:BY55)</f>
        <v>50</v>
      </c>
      <c r="CH55" t="s">
        <v>29</v>
      </c>
      <c r="CI55">
        <v>50</v>
      </c>
      <c r="CL55">
        <f t="shared" ref="CL55" si="340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308"/>
        <v>70</v>
      </c>
      <c r="DR55" t="s">
        <v>32</v>
      </c>
      <c r="DS55">
        <f>16*4</f>
        <v>64</v>
      </c>
      <c r="DV55">
        <f t="shared" si="309"/>
        <v>64</v>
      </c>
      <c r="ED55" t="s">
        <v>74</v>
      </c>
      <c r="EE55">
        <v>20</v>
      </c>
      <c r="EH55">
        <f t="shared" si="311"/>
        <v>20</v>
      </c>
      <c r="EP55" t="s">
        <v>74</v>
      </c>
      <c r="EQ55">
        <v>40</v>
      </c>
      <c r="ET55">
        <f t="shared" si="316"/>
        <v>40</v>
      </c>
      <c r="FB55" t="s">
        <v>28</v>
      </c>
      <c r="FC55">
        <v>66</v>
      </c>
      <c r="FF55">
        <f t="shared" si="312"/>
        <v>66</v>
      </c>
      <c r="FN55" t="s">
        <v>28</v>
      </c>
      <c r="FO55">
        <v>66</v>
      </c>
      <c r="FR55">
        <f t="shared" si="313"/>
        <v>66</v>
      </c>
      <c r="FZ55" t="s">
        <v>23</v>
      </c>
      <c r="GA55">
        <v>55</v>
      </c>
      <c r="GD55">
        <f t="shared" si="327"/>
        <v>55</v>
      </c>
      <c r="GL55" t="s">
        <v>28</v>
      </c>
      <c r="GM55">
        <v>66</v>
      </c>
      <c r="GP55">
        <f t="shared" si="315"/>
        <v>66</v>
      </c>
      <c r="GX55" t="s">
        <v>75</v>
      </c>
      <c r="HB55">
        <f t="shared" si="319"/>
        <v>0</v>
      </c>
      <c r="HJ55" t="s">
        <v>75</v>
      </c>
      <c r="HN55">
        <f t="shared" si="320"/>
        <v>0</v>
      </c>
      <c r="HV55" t="s">
        <v>75</v>
      </c>
      <c r="HZ55">
        <f t="shared" si="321"/>
        <v>0</v>
      </c>
      <c r="IH55" t="s">
        <v>75</v>
      </c>
      <c r="IL55">
        <f t="shared" si="322"/>
        <v>0</v>
      </c>
      <c r="IT55" t="s">
        <v>75</v>
      </c>
      <c r="IX55">
        <f t="shared" si="323"/>
        <v>0</v>
      </c>
      <c r="JK55" t="s">
        <v>213</v>
      </c>
      <c r="JL55">
        <v>36.299999999999997</v>
      </c>
      <c r="JO55">
        <f t="shared" si="324"/>
        <v>36.299999999999997</v>
      </c>
      <c r="JW55" t="s">
        <v>213</v>
      </c>
      <c r="JX55">
        <v>36.299999999999997</v>
      </c>
      <c r="KA55">
        <f t="shared" si="325"/>
        <v>36.299999999999997</v>
      </c>
      <c r="KI55" t="s">
        <v>30</v>
      </c>
      <c r="KM55">
        <v>300</v>
      </c>
      <c r="KU55" t="s">
        <v>213</v>
      </c>
      <c r="KV55">
        <v>36.299999999999997</v>
      </c>
      <c r="KY55">
        <f t="shared" si="326"/>
        <v>36.299999999999997</v>
      </c>
    </row>
    <row r="56" spans="2:316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341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342">SUM(DS56:DU56)</f>
        <v>50</v>
      </c>
      <c r="ED56" t="s">
        <v>28</v>
      </c>
      <c r="EE56">
        <v>60</v>
      </c>
      <c r="EH56">
        <f t="shared" si="311"/>
        <v>60</v>
      </c>
      <c r="EP56" t="s">
        <v>28</v>
      </c>
      <c r="EQ56">
        <v>77</v>
      </c>
      <c r="ET56">
        <f t="shared" si="316"/>
        <v>77</v>
      </c>
      <c r="FB56" t="s">
        <v>32</v>
      </c>
      <c r="FC56">
        <f>16*4</f>
        <v>64</v>
      </c>
      <c r="FF56">
        <f t="shared" si="312"/>
        <v>64</v>
      </c>
      <c r="FN56" t="s">
        <v>32</v>
      </c>
      <c r="FO56">
        <f>16*4</f>
        <v>64</v>
      </c>
      <c r="FR56">
        <f t="shared" si="313"/>
        <v>64</v>
      </c>
      <c r="FZ56" t="s">
        <v>24</v>
      </c>
      <c r="GA56">
        <v>1080</v>
      </c>
      <c r="GD56">
        <f t="shared" si="327"/>
        <v>1080</v>
      </c>
      <c r="GL56" t="s">
        <v>32</v>
      </c>
      <c r="GM56">
        <f>16*4</f>
        <v>64</v>
      </c>
      <c r="GP56">
        <f t="shared" si="315"/>
        <v>64</v>
      </c>
      <c r="GX56" t="s">
        <v>74</v>
      </c>
      <c r="GY56">
        <v>40</v>
      </c>
      <c r="HB56">
        <f t="shared" si="319"/>
        <v>40</v>
      </c>
      <c r="HJ56" t="s">
        <v>74</v>
      </c>
      <c r="HK56">
        <v>40</v>
      </c>
      <c r="HN56">
        <f t="shared" si="320"/>
        <v>40</v>
      </c>
      <c r="HV56" t="s">
        <v>74</v>
      </c>
      <c r="HW56">
        <v>40</v>
      </c>
      <c r="HZ56">
        <f t="shared" si="321"/>
        <v>40</v>
      </c>
      <c r="IH56" t="s">
        <v>74</v>
      </c>
      <c r="II56">
        <v>36.299999999999997</v>
      </c>
      <c r="IL56">
        <f t="shared" si="322"/>
        <v>36.299999999999997</v>
      </c>
      <c r="IT56" t="s">
        <v>74</v>
      </c>
      <c r="IU56">
        <v>40</v>
      </c>
      <c r="IX56">
        <f t="shared" si="323"/>
        <v>40</v>
      </c>
      <c r="JK56" t="s">
        <v>74</v>
      </c>
      <c r="JL56">
        <v>40</v>
      </c>
      <c r="JO56">
        <f t="shared" si="324"/>
        <v>40</v>
      </c>
      <c r="JW56" t="s">
        <v>74</v>
      </c>
      <c r="JX56">
        <v>40</v>
      </c>
      <c r="KA56">
        <f t="shared" si="325"/>
        <v>40</v>
      </c>
      <c r="KI56" t="s">
        <v>64</v>
      </c>
      <c r="KJ56">
        <v>38.5</v>
      </c>
      <c r="KM56">
        <f t="shared" ref="KM56" si="343">SUM(KJ56:KL56)</f>
        <v>38.5</v>
      </c>
      <c r="KU56" t="s">
        <v>74</v>
      </c>
      <c r="KV56">
        <v>40</v>
      </c>
      <c r="KY56">
        <f t="shared" si="326"/>
        <v>40</v>
      </c>
    </row>
    <row r="57" spans="2:316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344">SUM(BW57:BY57)</f>
        <v>38.5</v>
      </c>
      <c r="CH57" t="s">
        <v>64</v>
      </c>
      <c r="CI57">
        <v>38.5</v>
      </c>
      <c r="CL57">
        <f t="shared" ref="CL57" si="345">SUM(CI57:CK57)</f>
        <v>38.5</v>
      </c>
      <c r="DF57" t="s">
        <v>29</v>
      </c>
      <c r="DG57">
        <v>50</v>
      </c>
      <c r="DJ57">
        <f t="shared" ref="DJ57" si="346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316"/>
        <v>64</v>
      </c>
      <c r="FB57" t="s">
        <v>29</v>
      </c>
      <c r="FC57">
        <v>50</v>
      </c>
      <c r="FF57">
        <f t="shared" si="312"/>
        <v>50</v>
      </c>
      <c r="FN57" t="s">
        <v>29</v>
      </c>
      <c r="FO57">
        <v>50</v>
      </c>
      <c r="FR57">
        <f t="shared" si="313"/>
        <v>50</v>
      </c>
      <c r="FZ57" t="s">
        <v>75</v>
      </c>
      <c r="GD57">
        <f t="shared" si="327"/>
        <v>0</v>
      </c>
      <c r="GL57" t="s">
        <v>29</v>
      </c>
      <c r="GM57">
        <v>50</v>
      </c>
      <c r="GP57">
        <f t="shared" si="315"/>
        <v>50</v>
      </c>
      <c r="GX57" t="s">
        <v>28</v>
      </c>
      <c r="GY57">
        <v>66</v>
      </c>
      <c r="HB57">
        <f t="shared" si="319"/>
        <v>66</v>
      </c>
      <c r="HJ57" t="s">
        <v>28</v>
      </c>
      <c r="HK57">
        <v>66</v>
      </c>
      <c r="HN57">
        <f t="shared" si="320"/>
        <v>66</v>
      </c>
      <c r="HV57" t="s">
        <v>28</v>
      </c>
      <c r="HW57">
        <v>66</v>
      </c>
      <c r="HZ57">
        <f t="shared" si="321"/>
        <v>66</v>
      </c>
      <c r="IH57" t="s">
        <v>28</v>
      </c>
      <c r="II57">
        <v>66</v>
      </c>
      <c r="IL57">
        <f t="shared" si="322"/>
        <v>66</v>
      </c>
      <c r="IT57" t="s">
        <v>28</v>
      </c>
      <c r="IU57">
        <v>66</v>
      </c>
      <c r="IX57">
        <f t="shared" si="323"/>
        <v>66</v>
      </c>
      <c r="JK57" t="s">
        <v>28</v>
      </c>
      <c r="JL57">
        <v>77</v>
      </c>
      <c r="JO57">
        <f t="shared" si="324"/>
        <v>77</v>
      </c>
      <c r="JW57" t="s">
        <v>28</v>
      </c>
      <c r="JX57">
        <v>77</v>
      </c>
      <c r="KA57">
        <f t="shared" si="325"/>
        <v>77</v>
      </c>
      <c r="KU57" t="s">
        <v>28</v>
      </c>
      <c r="KV57">
        <v>77</v>
      </c>
      <c r="KY57">
        <f t="shared" si="326"/>
        <v>77</v>
      </c>
    </row>
    <row r="58" spans="2:316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347">SUM(DS58:DU58)</f>
        <v>38.5</v>
      </c>
      <c r="ED58" t="s">
        <v>29</v>
      </c>
      <c r="EE58">
        <v>50</v>
      </c>
      <c r="EH58">
        <f t="shared" ref="EH58" si="348">SUM(EE58:EG58)</f>
        <v>50</v>
      </c>
      <c r="EP58" t="s">
        <v>29</v>
      </c>
      <c r="EQ58">
        <v>50</v>
      </c>
      <c r="ET58">
        <f t="shared" si="316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327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319"/>
        <v>64</v>
      </c>
      <c r="HJ58" t="s">
        <v>32</v>
      </c>
      <c r="HK58">
        <f>16*4</f>
        <v>64</v>
      </c>
      <c r="HN58">
        <f t="shared" si="320"/>
        <v>64</v>
      </c>
      <c r="HV58" t="s">
        <v>32</v>
      </c>
      <c r="HW58">
        <f>16*4</f>
        <v>64</v>
      </c>
      <c r="HZ58">
        <f t="shared" si="321"/>
        <v>64</v>
      </c>
      <c r="IH58" t="s">
        <v>32</v>
      </c>
      <c r="II58">
        <f>16*4</f>
        <v>64</v>
      </c>
      <c r="IL58">
        <f t="shared" si="322"/>
        <v>64</v>
      </c>
      <c r="IT58" t="s">
        <v>32</v>
      </c>
      <c r="IU58">
        <f>16*4</f>
        <v>64</v>
      </c>
      <c r="IX58">
        <f t="shared" si="323"/>
        <v>64</v>
      </c>
      <c r="JK58" t="s">
        <v>32</v>
      </c>
      <c r="JL58">
        <f>16*4</f>
        <v>64</v>
      </c>
      <c r="JO58">
        <f t="shared" si="324"/>
        <v>64</v>
      </c>
      <c r="JW58" t="s">
        <v>32</v>
      </c>
      <c r="JX58">
        <f>16*4</f>
        <v>64</v>
      </c>
      <c r="KA58">
        <f t="shared" si="325"/>
        <v>64</v>
      </c>
      <c r="KI58" t="s">
        <v>12</v>
      </c>
      <c r="KM58">
        <f>SUM(KM28:KM56)</f>
        <v>7921.1013999999996</v>
      </c>
      <c r="KR58">
        <f>KR25-KM58</f>
        <v>1565.8510740740749</v>
      </c>
      <c r="KU58" t="s">
        <v>32</v>
      </c>
      <c r="KV58">
        <f>16*4</f>
        <v>64</v>
      </c>
      <c r="KY58">
        <f t="shared" si="326"/>
        <v>64</v>
      </c>
    </row>
    <row r="59" spans="2:316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349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350">SUM(FC59:FE59)</f>
        <v>38.5</v>
      </c>
      <c r="FN59" t="s">
        <v>64</v>
      </c>
      <c r="FO59">
        <v>38.5</v>
      </c>
      <c r="FR59">
        <f t="shared" ref="FR59" si="351">SUM(FO59:FQ59)</f>
        <v>38.5</v>
      </c>
      <c r="FZ59" t="s">
        <v>28</v>
      </c>
      <c r="GA59">
        <v>66</v>
      </c>
      <c r="GD59">
        <f t="shared" si="327"/>
        <v>66</v>
      </c>
      <c r="GL59" t="s">
        <v>64</v>
      </c>
      <c r="GM59">
        <v>38.5</v>
      </c>
      <c r="GP59">
        <f t="shared" ref="GP59" si="352">SUM(GM59:GO59)</f>
        <v>38.5</v>
      </c>
      <c r="GX59" t="s">
        <v>29</v>
      </c>
      <c r="GY59">
        <v>50</v>
      </c>
      <c r="HB59">
        <f t="shared" si="319"/>
        <v>50</v>
      </c>
      <c r="HJ59" t="s">
        <v>29</v>
      </c>
      <c r="HK59">
        <v>50</v>
      </c>
      <c r="HN59">
        <f t="shared" si="320"/>
        <v>50</v>
      </c>
      <c r="HV59" t="s">
        <v>29</v>
      </c>
      <c r="HW59">
        <v>50</v>
      </c>
      <c r="HZ59">
        <f t="shared" si="321"/>
        <v>50</v>
      </c>
      <c r="IH59" t="s">
        <v>29</v>
      </c>
      <c r="II59">
        <v>50</v>
      </c>
      <c r="IL59">
        <f t="shared" si="322"/>
        <v>50</v>
      </c>
      <c r="IT59" t="s">
        <v>29</v>
      </c>
      <c r="IU59">
        <v>50</v>
      </c>
      <c r="IX59">
        <f t="shared" si="323"/>
        <v>50</v>
      </c>
      <c r="JK59" t="s">
        <v>29</v>
      </c>
      <c r="JL59">
        <v>50</v>
      </c>
      <c r="JO59">
        <f t="shared" si="324"/>
        <v>50</v>
      </c>
      <c r="JW59" t="s">
        <v>29</v>
      </c>
      <c r="JX59">
        <v>50</v>
      </c>
      <c r="KA59">
        <f t="shared" si="325"/>
        <v>50</v>
      </c>
      <c r="KU59" t="s">
        <v>29</v>
      </c>
      <c r="KV59">
        <v>50</v>
      </c>
      <c r="KY59">
        <f t="shared" si="326"/>
        <v>50</v>
      </c>
    </row>
    <row r="60" spans="2:316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353">SUM(EE60:EG60)</f>
        <v>38.5</v>
      </c>
      <c r="EP60" t="s">
        <v>64</v>
      </c>
      <c r="EQ60">
        <v>38.5</v>
      </c>
      <c r="ET60">
        <f t="shared" ref="ET60" si="354">SUM(EQ60:ES60)</f>
        <v>38.5</v>
      </c>
      <c r="FZ60" t="s">
        <v>32</v>
      </c>
      <c r="GA60">
        <f>16*4</f>
        <v>64</v>
      </c>
      <c r="GD60">
        <f t="shared" si="327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  <c r="JK60" t="s">
        <v>30</v>
      </c>
      <c r="JL60">
        <v>400</v>
      </c>
      <c r="JO60">
        <f t="shared" si="324"/>
        <v>400</v>
      </c>
      <c r="JW60" t="s">
        <v>30</v>
      </c>
      <c r="JX60">
        <v>400</v>
      </c>
      <c r="KA60">
        <f t="shared" si="325"/>
        <v>400</v>
      </c>
      <c r="KU60" t="s">
        <v>30</v>
      </c>
      <c r="KV60">
        <v>400</v>
      </c>
      <c r="KY60">
        <f t="shared" si="326"/>
        <v>400</v>
      </c>
    </row>
    <row r="61" spans="2:316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327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355">SUM(GY61:HA61)</f>
        <v>38.5</v>
      </c>
      <c r="HJ61" t="s">
        <v>64</v>
      </c>
      <c r="HK61">
        <v>38.5</v>
      </c>
      <c r="HN61">
        <f t="shared" ref="HN61" si="356">SUM(HK61:HM61)</f>
        <v>38.5</v>
      </c>
      <c r="HV61" t="s">
        <v>64</v>
      </c>
      <c r="HW61">
        <v>38.5</v>
      </c>
      <c r="HZ61">
        <f t="shared" ref="HZ61" si="357">SUM(HW61:HY61)</f>
        <v>38.5</v>
      </c>
      <c r="IH61" t="s">
        <v>64</v>
      </c>
      <c r="II61">
        <v>38.5</v>
      </c>
      <c r="IL61">
        <f t="shared" ref="IL61" si="358">SUM(II61:IK61)</f>
        <v>38.5</v>
      </c>
      <c r="IT61" t="s">
        <v>64</v>
      </c>
      <c r="IU61">
        <v>38.5</v>
      </c>
      <c r="IX61">
        <f t="shared" ref="IX61" si="359">SUM(IU61:IW61)</f>
        <v>38.5</v>
      </c>
      <c r="JK61" t="s">
        <v>64</v>
      </c>
      <c r="JL61">
        <v>38.5</v>
      </c>
      <c r="JO61">
        <f t="shared" ref="JO61" si="360">SUM(JL61:JN61)</f>
        <v>38.5</v>
      </c>
      <c r="JW61" t="s">
        <v>64</v>
      </c>
      <c r="JX61">
        <v>38.5</v>
      </c>
      <c r="KA61">
        <f t="shared" si="325"/>
        <v>38.5</v>
      </c>
      <c r="KU61" t="s">
        <v>64</v>
      </c>
      <c r="KV61">
        <v>38.5</v>
      </c>
      <c r="KY61">
        <f t="shared" ref="KY61" si="361">SUM(KV61:KX61)</f>
        <v>38.5</v>
      </c>
    </row>
    <row r="62" spans="2:316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</row>
    <row r="63" spans="2:316">
      <c r="FZ63" t="s">
        <v>64</v>
      </c>
      <c r="GA63">
        <v>38.5</v>
      </c>
      <c r="GD63">
        <f t="shared" ref="GD63" si="362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  <c r="JK63" t="s">
        <v>12</v>
      </c>
      <c r="JO63">
        <f>SUM(JO29:JO61)</f>
        <v>9415.2677000000003</v>
      </c>
      <c r="JT63">
        <f>JT26-JO63</f>
        <v>1990.3350888888872</v>
      </c>
      <c r="JW63" t="s">
        <v>12</v>
      </c>
      <c r="KA63">
        <f>SUM(KA29:KA61)</f>
        <v>9555.2677000000003</v>
      </c>
      <c r="KF63">
        <f>KF26-KA63</f>
        <v>1850.3350888888872</v>
      </c>
      <c r="KU63" t="s">
        <v>12</v>
      </c>
      <c r="KY63">
        <f>SUM(KY29:KY61)</f>
        <v>9339.8070000000007</v>
      </c>
      <c r="LD63">
        <f>LD26-KY63</f>
        <v>1715.5517777777786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2026-04-28T01:49:45Z</dcterms:modified>
</cp:coreProperties>
</file>