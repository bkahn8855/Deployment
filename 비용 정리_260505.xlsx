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kahn/Library/Mobile Documents/com~apple~CloudDocs/0. 사업/1. 결산/Deployment/"/>
    </mc:Choice>
  </mc:AlternateContent>
  <xr:revisionPtr revIDLastSave="0" documentId="13_ncr:1_{52A53F1B-8DAB-474F-A3FD-56BDD269E371}" xr6:coauthVersionLast="47" xr6:coauthVersionMax="47" xr10:uidLastSave="{00000000-0000-0000-0000-000000000000}"/>
  <bookViews>
    <workbookView xWindow="0" yWindow="680" windowWidth="30240" windowHeight="18960" activeTab="2" xr2:uid="{22CEC514-C066-E441-9C92-ED07EE8853CA}"/>
  </bookViews>
  <sheets>
    <sheet name="Sheet1" sheetId="8" r:id="rId1"/>
    <sheet name="Sheet2" sheetId="7" r:id="rId2"/>
    <sheet name="월별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46" i="6" l="1"/>
  <c r="BL14" i="6"/>
  <c r="BS14" i="6"/>
  <c r="BS13" i="6"/>
  <c r="BM46" i="6"/>
  <c r="BM26" i="6"/>
  <c r="BL9" i="6"/>
  <c r="BN63" i="6"/>
  <c r="BN62" i="6"/>
  <c r="BN61" i="6"/>
  <c r="BK60" i="6"/>
  <c r="BN60" i="6" s="1"/>
  <c r="BN59" i="6"/>
  <c r="BN58" i="6"/>
  <c r="BN57" i="6"/>
  <c r="BK57" i="6"/>
  <c r="BN56" i="6"/>
  <c r="BN55" i="6"/>
  <c r="BN54" i="6"/>
  <c r="BN53" i="6"/>
  <c r="BN52" i="6"/>
  <c r="BN51" i="6"/>
  <c r="BK50" i="6"/>
  <c r="BN50" i="6" s="1"/>
  <c r="BK49" i="6"/>
  <c r="BN49" i="6" s="1"/>
  <c r="BN48" i="6"/>
  <c r="BK47" i="6"/>
  <c r="BN47" i="6" s="1"/>
  <c r="BM45" i="6"/>
  <c r="BN45" i="6" s="1"/>
  <c r="BN44" i="6"/>
  <c r="BN43" i="6"/>
  <c r="BN42" i="6"/>
  <c r="BM41" i="6"/>
  <c r="BN41" i="6" s="1"/>
  <c r="BM40" i="6"/>
  <c r="BN40" i="6" s="1"/>
  <c r="BN39" i="6"/>
  <c r="BM38" i="6"/>
  <c r="BL38" i="6"/>
  <c r="BL37" i="6"/>
  <c r="BK37" i="6"/>
  <c r="BM37" i="6" s="1"/>
  <c r="BM36" i="6"/>
  <c r="BL36" i="6"/>
  <c r="BN36" i="6" s="1"/>
  <c r="BL35" i="6"/>
  <c r="BK35" i="6"/>
  <c r="BM35" i="6" s="1"/>
  <c r="BM34" i="6"/>
  <c r="BN34" i="6" s="1"/>
  <c r="BM33" i="6"/>
  <c r="BL33" i="6"/>
  <c r="BN33" i="6" s="1"/>
  <c r="BM32" i="6"/>
  <c r="BN32" i="6" s="1"/>
  <c r="BM31" i="6"/>
  <c r="BN31" i="6" s="1"/>
  <c r="BS27" i="6"/>
  <c r="BP26" i="6"/>
  <c r="BS26" i="6" s="1"/>
  <c r="BP25" i="6"/>
  <c r="BS25" i="6" s="1"/>
  <c r="BP24" i="6"/>
  <c r="BS24" i="6" s="1"/>
  <c r="BP23" i="6"/>
  <c r="BS23" i="6" s="1"/>
  <c r="BP22" i="6"/>
  <c r="BS22" i="6" s="1"/>
  <c r="BP21" i="6"/>
  <c r="BS21" i="6" s="1"/>
  <c r="BP20" i="6"/>
  <c r="BS20" i="6" s="1"/>
  <c r="BS19" i="6"/>
  <c r="BO18" i="6"/>
  <c r="BS18" i="6" s="1"/>
  <c r="BO17" i="6"/>
  <c r="BS17" i="6" s="1"/>
  <c r="BO16" i="6"/>
  <c r="BS16" i="6" s="1"/>
  <c r="BO15" i="6"/>
  <c r="BS15" i="6" s="1"/>
  <c r="BS12" i="6"/>
  <c r="BS11" i="6"/>
  <c r="BS10" i="6"/>
  <c r="BM9" i="6"/>
  <c r="BP8" i="6"/>
  <c r="BO8" i="6"/>
  <c r="BP7" i="6"/>
  <c r="BO7" i="6"/>
  <c r="BS7" i="6" s="1"/>
  <c r="BP6" i="6"/>
  <c r="BO6" i="6"/>
  <c r="BP5" i="6"/>
  <c r="BO5" i="6"/>
  <c r="BS4" i="6"/>
  <c r="BO4" i="6"/>
  <c r="BO3" i="6"/>
  <c r="BS3" i="6" s="1"/>
  <c r="BS2" i="6"/>
  <c r="AY55" i="6"/>
  <c r="AY47" i="6"/>
  <c r="BB47" i="6" s="1"/>
  <c r="AY45" i="6"/>
  <c r="BB45" i="6" s="1"/>
  <c r="BA43" i="6"/>
  <c r="BA24" i="6"/>
  <c r="AZ9" i="6"/>
  <c r="BG9" i="6" s="1"/>
  <c r="BB61" i="6"/>
  <c r="BB60" i="6"/>
  <c r="BB59" i="6"/>
  <c r="AY58" i="6"/>
  <c r="BB58" i="6" s="1"/>
  <c r="BB57" i="6"/>
  <c r="BB56" i="6"/>
  <c r="BB55" i="6"/>
  <c r="BB54" i="6"/>
  <c r="BB53" i="6"/>
  <c r="BB52" i="6"/>
  <c r="BB51" i="6"/>
  <c r="BB50" i="6"/>
  <c r="BB49" i="6"/>
  <c r="AY48" i="6"/>
  <c r="BB48" i="6" s="1"/>
  <c r="AY46" i="6"/>
  <c r="BB46" i="6" s="1"/>
  <c r="BB44" i="6"/>
  <c r="BB43" i="6"/>
  <c r="BB42" i="6"/>
  <c r="BB41" i="6"/>
  <c r="BB40" i="6"/>
  <c r="BA39" i="6"/>
  <c r="BB39" i="6" s="1"/>
  <c r="BA38" i="6"/>
  <c r="BB38" i="6" s="1"/>
  <c r="BB37" i="6"/>
  <c r="BA36" i="6"/>
  <c r="AZ36" i="6"/>
  <c r="BB36" i="6" s="1"/>
  <c r="AZ35" i="6"/>
  <c r="AY35" i="6"/>
  <c r="BA35" i="6" s="1"/>
  <c r="BA34" i="6"/>
  <c r="AZ34" i="6"/>
  <c r="AZ33" i="6"/>
  <c r="AY33" i="6"/>
  <c r="BA32" i="6"/>
  <c r="BB32" i="6" s="1"/>
  <c r="BA31" i="6"/>
  <c r="AZ31" i="6"/>
  <c r="BB31" i="6" s="1"/>
  <c r="BA30" i="6"/>
  <c r="BB30" i="6" s="1"/>
  <c r="BA29" i="6"/>
  <c r="BB29" i="6" s="1"/>
  <c r="BG25" i="6"/>
  <c r="BD24" i="6"/>
  <c r="BD23" i="6"/>
  <c r="BG23" i="6" s="1"/>
  <c r="BD22" i="6"/>
  <c r="BG22" i="6" s="1"/>
  <c r="BD21" i="6"/>
  <c r="BG21" i="6" s="1"/>
  <c r="BD20" i="6"/>
  <c r="BG20" i="6" s="1"/>
  <c r="BD19" i="6"/>
  <c r="BG19" i="6" s="1"/>
  <c r="BD18" i="6"/>
  <c r="BG18" i="6" s="1"/>
  <c r="BG17" i="6"/>
  <c r="BC16" i="6"/>
  <c r="BG16" i="6" s="1"/>
  <c r="BC15" i="6"/>
  <c r="BG15" i="6" s="1"/>
  <c r="BC14" i="6"/>
  <c r="BG14" i="6" s="1"/>
  <c r="BC13" i="6"/>
  <c r="BG13" i="6" s="1"/>
  <c r="BG12" i="6"/>
  <c r="BG11" i="6"/>
  <c r="BG10" i="6"/>
  <c r="BA9" i="6"/>
  <c r="BD8" i="6"/>
  <c r="BC8" i="6"/>
  <c r="BD7" i="6"/>
  <c r="BC7" i="6"/>
  <c r="BG7" i="6" s="1"/>
  <c r="BD6" i="6"/>
  <c r="BC6" i="6"/>
  <c r="BG6" i="6" s="1"/>
  <c r="BD5" i="6"/>
  <c r="BC5" i="6"/>
  <c r="BC4" i="6"/>
  <c r="BG4" i="6" s="1"/>
  <c r="BC3" i="6"/>
  <c r="BG3" i="6" s="1"/>
  <c r="BG2" i="6"/>
  <c r="BE45" i="8"/>
  <c r="BE47" i="8"/>
  <c r="BG47" i="8"/>
  <c r="BH47" i="8"/>
  <c r="BR47" i="8"/>
  <c r="BQ47" i="8"/>
  <c r="BK47" i="8"/>
  <c r="BK46" i="8"/>
  <c r="BQ46" i="8"/>
  <c r="BD47" i="8"/>
  <c r="BD46" i="8"/>
  <c r="BQ45" i="8"/>
  <c r="BC47" i="8"/>
  <c r="BC45" i="8"/>
  <c r="BM45" i="8"/>
  <c r="BK45" i="8"/>
  <c r="BD45" i="8"/>
  <c r="BI47" i="8"/>
  <c r="BN47" i="8"/>
  <c r="BF47" i="8"/>
  <c r="BE46" i="8"/>
  <c r="BF46" i="8"/>
  <c r="BG46" i="8"/>
  <c r="BH46" i="8"/>
  <c r="BI46" i="8"/>
  <c r="BJ46" i="8"/>
  <c r="BN46" i="8"/>
  <c r="BR46" i="8"/>
  <c r="BC46" i="8"/>
  <c r="BN45" i="8"/>
  <c r="BF45" i="8"/>
  <c r="AD45" i="8"/>
  <c r="AB45" i="8"/>
  <c r="BR45" i="8"/>
  <c r="AY47" i="8"/>
  <c r="AX47" i="8"/>
  <c r="AF47" i="8"/>
  <c r="AX46" i="8"/>
  <c r="AF46" i="8"/>
  <c r="AX45" i="8"/>
  <c r="AF45" i="8"/>
  <c r="Y47" i="8"/>
  <c r="AY46" i="8"/>
  <c r="AH47" i="8"/>
  <c r="AD47" i="8"/>
  <c r="AM47" i="8"/>
  <c r="AO47" i="8"/>
  <c r="AI47" i="8"/>
  <c r="AL47" i="8"/>
  <c r="AU47" i="8"/>
  <c r="AR47" i="8"/>
  <c r="AW47" i="8"/>
  <c r="AN46" i="8"/>
  <c r="AN45" i="8"/>
  <c r="AN47" i="8"/>
  <c r="AW46" i="8"/>
  <c r="AB47" i="8"/>
  <c r="AL46" i="8"/>
  <c r="AH46" i="8"/>
  <c r="AO46" i="8"/>
  <c r="AK46" i="8"/>
  <c r="AR46" i="8"/>
  <c r="AM46" i="8"/>
  <c r="AP46" i="8"/>
  <c r="AI46" i="8"/>
  <c r="AU46" i="8"/>
  <c r="AU45" i="8"/>
  <c r="AL45" i="8"/>
  <c r="AM45" i="8"/>
  <c r="AY45" i="8"/>
  <c r="AI45" i="8"/>
  <c r="AH45" i="8"/>
  <c r="AP45" i="8"/>
  <c r="AK45" i="8"/>
  <c r="AW45" i="8"/>
  <c r="AD46" i="8"/>
  <c r="AG45" i="8"/>
  <c r="AG46" i="8"/>
  <c r="AG47" i="8"/>
  <c r="AC47" i="8"/>
  <c r="AK47" i="8"/>
  <c r="AC46" i="8"/>
  <c r="AC45" i="8"/>
  <c r="AB46" i="8"/>
  <c r="BG24" i="6" l="1"/>
  <c r="BS6" i="6"/>
  <c r="BG8" i="6"/>
  <c r="BG5" i="6"/>
  <c r="BS9" i="6"/>
  <c r="BN38" i="6"/>
  <c r="BS8" i="6"/>
  <c r="BB35" i="6"/>
  <c r="BS5" i="6"/>
  <c r="BS28" i="6" s="1"/>
  <c r="BB34" i="6"/>
  <c r="BN35" i="6"/>
  <c r="BN37" i="6"/>
  <c r="BG26" i="6"/>
  <c r="BA33" i="6"/>
  <c r="BB33" i="6" s="1"/>
  <c r="L48" i="8"/>
  <c r="K48" i="8"/>
  <c r="AZ48" i="8"/>
  <c r="N48" i="8"/>
  <c r="Y48" i="8"/>
  <c r="U48" i="8"/>
  <c r="T48" i="8"/>
  <c r="X48" i="8"/>
  <c r="S48" i="8"/>
  <c r="R48" i="8"/>
  <c r="P48" i="8"/>
  <c r="M48" i="8"/>
  <c r="BA47" i="8"/>
  <c r="AZ47" i="8"/>
  <c r="P47" i="8"/>
  <c r="O47" i="8"/>
  <c r="L47" i="8"/>
  <c r="X47" i="8"/>
  <c r="U47" i="8"/>
  <c r="T47" i="8"/>
  <c r="S47" i="8"/>
  <c r="R47" i="8"/>
  <c r="N47" i="8"/>
  <c r="M47" i="8"/>
  <c r="K47" i="8"/>
  <c r="BA46" i="8"/>
  <c r="AZ46" i="8"/>
  <c r="P46" i="8"/>
  <c r="O46" i="8"/>
  <c r="Y46" i="8"/>
  <c r="X46" i="8"/>
  <c r="U46" i="8"/>
  <c r="T46" i="8"/>
  <c r="S46" i="8"/>
  <c r="R46" i="8"/>
  <c r="M46" i="8"/>
  <c r="L46" i="8"/>
  <c r="K46" i="8"/>
  <c r="BA45" i="8"/>
  <c r="M45" i="8"/>
  <c r="P45" i="8"/>
  <c r="O45" i="8"/>
  <c r="N45" i="8"/>
  <c r="X45" i="8"/>
  <c r="S45" i="8"/>
  <c r="R45" i="8"/>
  <c r="AC31" i="8"/>
  <c r="AD40" i="8"/>
  <c r="AC42" i="8"/>
  <c r="AQ15" i="6"/>
  <c r="AU15" i="6" s="1"/>
  <c r="AU12" i="6"/>
  <c r="BB63" i="6" l="1"/>
  <c r="BN65" i="6"/>
  <c r="BS65" i="6" s="1"/>
  <c r="BI3" i="6" s="1"/>
  <c r="BG63" i="6"/>
  <c r="AW3" i="6" s="1"/>
  <c r="H47" i="8"/>
  <c r="G46" i="8"/>
  <c r="Q47" i="8"/>
  <c r="Q48" i="8"/>
  <c r="V47" i="8"/>
  <c r="Z46" i="8"/>
  <c r="Z47" i="8"/>
  <c r="V46" i="8"/>
  <c r="Z48" i="8"/>
  <c r="V48" i="8"/>
  <c r="G48" i="8"/>
  <c r="BA48" i="8"/>
  <c r="O48" i="8"/>
  <c r="U45" i="8"/>
  <c r="H45" i="8" s="1"/>
  <c r="N46" i="8"/>
  <c r="Q46" i="8" s="1"/>
  <c r="G47" i="8"/>
  <c r="I47" i="8" s="1"/>
  <c r="T45" i="8"/>
  <c r="K45" i="8"/>
  <c r="Q45" i="8" s="1"/>
  <c r="L45" i="8"/>
  <c r="AZ45" i="8"/>
  <c r="BB45" i="8" s="1"/>
  <c r="BB46" i="8" s="1"/>
  <c r="BB47" i="8" s="1"/>
  <c r="Y45" i="8"/>
  <c r="Z45" i="8" s="1"/>
  <c r="H46" i="8"/>
  <c r="AM48" i="6"/>
  <c r="AP48" i="6" s="1"/>
  <c r="AM47" i="6"/>
  <c r="AP47" i="6" s="1"/>
  <c r="AM46" i="6"/>
  <c r="AM45" i="6"/>
  <c r="AP45" i="6" s="1"/>
  <c r="AO39" i="6"/>
  <c r="AP39" i="6" s="1"/>
  <c r="AU25" i="6"/>
  <c r="AN9" i="6"/>
  <c r="AP61" i="6"/>
  <c r="AP60" i="6"/>
  <c r="AP59" i="6"/>
  <c r="AM58" i="6"/>
  <c r="AP58" i="6" s="1"/>
  <c r="AP57" i="6"/>
  <c r="AP56" i="6"/>
  <c r="AP55" i="6"/>
  <c r="AP54" i="6"/>
  <c r="AP53" i="6"/>
  <c r="AP52" i="6"/>
  <c r="AP51" i="6"/>
  <c r="AP50" i="6"/>
  <c r="AP49" i="6"/>
  <c r="AP44" i="6"/>
  <c r="AP43" i="6"/>
  <c r="AP42" i="6"/>
  <c r="AP41" i="6"/>
  <c r="AP40" i="6"/>
  <c r="AO38" i="6"/>
  <c r="AP38" i="6" s="1"/>
  <c r="AP37" i="6"/>
  <c r="AO36" i="6"/>
  <c r="AN36" i="6"/>
  <c r="AN35" i="6"/>
  <c r="AM35" i="6"/>
  <c r="AO35" i="6" s="1"/>
  <c r="AO34" i="6"/>
  <c r="AN34" i="6"/>
  <c r="AP34" i="6" s="1"/>
  <c r="AN33" i="6"/>
  <c r="AM33" i="6"/>
  <c r="AO32" i="6"/>
  <c r="AP32" i="6" s="1"/>
  <c r="AO31" i="6"/>
  <c r="AN31" i="6"/>
  <c r="AO30" i="6"/>
  <c r="AP30" i="6" s="1"/>
  <c r="AO29" i="6"/>
  <c r="AP29" i="6" s="1"/>
  <c r="AR24" i="6"/>
  <c r="AU24" i="6" s="1"/>
  <c r="AR23" i="6"/>
  <c r="AU23" i="6" s="1"/>
  <c r="AR22" i="6"/>
  <c r="AU22" i="6" s="1"/>
  <c r="AR21" i="6"/>
  <c r="AU21" i="6" s="1"/>
  <c r="AR20" i="6"/>
  <c r="AU20" i="6" s="1"/>
  <c r="AR19" i="6"/>
  <c r="AU19" i="6" s="1"/>
  <c r="AR18" i="6"/>
  <c r="AU18" i="6" s="1"/>
  <c r="AU17" i="6"/>
  <c r="AQ16" i="6"/>
  <c r="AU16" i="6" s="1"/>
  <c r="AQ14" i="6"/>
  <c r="AQ13" i="6"/>
  <c r="AU13" i="6" s="1"/>
  <c r="AU11" i="6"/>
  <c r="AU10" i="6"/>
  <c r="AO9" i="6"/>
  <c r="AR8" i="6"/>
  <c r="AQ8" i="6"/>
  <c r="AU8" i="6" s="1"/>
  <c r="AR7" i="6"/>
  <c r="AQ7" i="6"/>
  <c r="AR6" i="6"/>
  <c r="AQ6" i="6"/>
  <c r="AU6" i="6" s="1"/>
  <c r="AR5" i="6"/>
  <c r="AQ5" i="6"/>
  <c r="AQ4" i="6"/>
  <c r="AU4" i="6" s="1"/>
  <c r="AQ3" i="6"/>
  <c r="AU3" i="6" s="1"/>
  <c r="AU2" i="6"/>
  <c r="C47" i="6"/>
  <c r="C45" i="6"/>
  <c r="O45" i="6"/>
  <c r="R45" i="6" s="1"/>
  <c r="O47" i="6"/>
  <c r="R47" i="6" s="1"/>
  <c r="R61" i="6"/>
  <c r="R60" i="6"/>
  <c r="R59" i="6"/>
  <c r="O58" i="6"/>
  <c r="R58" i="6" s="1"/>
  <c r="R57" i="6"/>
  <c r="R56" i="6"/>
  <c r="R55" i="6"/>
  <c r="R54" i="6"/>
  <c r="R53" i="6"/>
  <c r="R52" i="6"/>
  <c r="R51" i="6"/>
  <c r="R50" i="6"/>
  <c r="R49" i="6"/>
  <c r="O48" i="6"/>
  <c r="R48" i="6" s="1"/>
  <c r="O46" i="6"/>
  <c r="Q46" i="6" s="1"/>
  <c r="R46" i="6" s="1"/>
  <c r="R44" i="6"/>
  <c r="R43" i="6"/>
  <c r="R42" i="6"/>
  <c r="R41" i="6"/>
  <c r="R40" i="6"/>
  <c r="Q39" i="6"/>
  <c r="R39" i="6" s="1"/>
  <c r="Q38" i="6"/>
  <c r="R38" i="6" s="1"/>
  <c r="R37" i="6"/>
  <c r="Q36" i="6"/>
  <c r="P36" i="6"/>
  <c r="P35" i="6"/>
  <c r="O35" i="6"/>
  <c r="Q35" i="6" s="1"/>
  <c r="R35" i="6" s="1"/>
  <c r="Q34" i="6"/>
  <c r="P34" i="6"/>
  <c r="R34" i="6" s="1"/>
  <c r="P33" i="6"/>
  <c r="O33" i="6"/>
  <c r="Q32" i="6"/>
  <c r="R32" i="6" s="1"/>
  <c r="Q31" i="6"/>
  <c r="P31" i="6"/>
  <c r="Q30" i="6"/>
  <c r="R30" i="6" s="1"/>
  <c r="Q29" i="6"/>
  <c r="R29" i="6" s="1"/>
  <c r="W25" i="6"/>
  <c r="T24" i="6"/>
  <c r="W24" i="6" s="1"/>
  <c r="T23" i="6"/>
  <c r="W23" i="6" s="1"/>
  <c r="T22" i="6"/>
  <c r="W22" i="6" s="1"/>
  <c r="T21" i="6"/>
  <c r="W21" i="6" s="1"/>
  <c r="T20" i="6"/>
  <c r="W20" i="6" s="1"/>
  <c r="T19" i="6"/>
  <c r="W19" i="6" s="1"/>
  <c r="T18" i="6"/>
  <c r="W18" i="6" s="1"/>
  <c r="T17" i="6"/>
  <c r="W17" i="6" s="1"/>
  <c r="W16" i="6"/>
  <c r="S15" i="6"/>
  <c r="W15" i="6" s="1"/>
  <c r="S14" i="6"/>
  <c r="W14" i="6" s="1"/>
  <c r="S13" i="6"/>
  <c r="W13" i="6" s="1"/>
  <c r="W12" i="6"/>
  <c r="W11" i="6"/>
  <c r="W10" i="6"/>
  <c r="Q9" i="6"/>
  <c r="W9" i="6" s="1"/>
  <c r="T8" i="6"/>
  <c r="S8" i="6"/>
  <c r="T7" i="6"/>
  <c r="S7" i="6"/>
  <c r="T6" i="6"/>
  <c r="S6" i="6"/>
  <c r="W6" i="6" s="1"/>
  <c r="T5" i="6"/>
  <c r="S5" i="6"/>
  <c r="W5" i="6" s="1"/>
  <c r="S4" i="6"/>
  <c r="W4" i="6" s="1"/>
  <c r="S3" i="6"/>
  <c r="W3" i="6" s="1"/>
  <c r="W2" i="6"/>
  <c r="D35" i="6"/>
  <c r="C35" i="6"/>
  <c r="E35" i="6" s="1"/>
  <c r="D33" i="6"/>
  <c r="C33" i="6"/>
  <c r="E33" i="6" s="1"/>
  <c r="H24" i="6"/>
  <c r="K24" i="6" s="1"/>
  <c r="BN44" i="8"/>
  <c r="BQ44" i="8"/>
  <c r="BK44" i="8"/>
  <c r="BQ43" i="8"/>
  <c r="BK43" i="8"/>
  <c r="BD44" i="8"/>
  <c r="BG44" i="8"/>
  <c r="BH44" i="8"/>
  <c r="BD43" i="8"/>
  <c r="BG43" i="8"/>
  <c r="BC43" i="8"/>
  <c r="BI44" i="8"/>
  <c r="BR44" i="8"/>
  <c r="BN43" i="8"/>
  <c r="BR43" i="8"/>
  <c r="BI43" i="8"/>
  <c r="P43" i="8"/>
  <c r="AY43" i="8"/>
  <c r="AX44" i="8"/>
  <c r="AX43" i="8"/>
  <c r="AG44" i="8"/>
  <c r="AF44" i="8"/>
  <c r="AF43" i="8"/>
  <c r="AH44" i="8"/>
  <c r="AQ44" i="8"/>
  <c r="AL44" i="8"/>
  <c r="AY44" i="8"/>
  <c r="AI44" i="8"/>
  <c r="U44" i="8"/>
  <c r="AM44" i="8"/>
  <c r="AU44" i="8"/>
  <c r="AP44" i="8"/>
  <c r="Y44" i="8"/>
  <c r="AK44" i="8"/>
  <c r="AN44" i="8"/>
  <c r="AO44" i="8"/>
  <c r="AQ43" i="8"/>
  <c r="AH43" i="8"/>
  <c r="N43" i="8"/>
  <c r="AL43" i="8"/>
  <c r="AI43" i="8"/>
  <c r="AC43" i="8"/>
  <c r="AU43" i="8"/>
  <c r="AM43" i="8"/>
  <c r="AP43" i="8"/>
  <c r="O43" i="8" s="1"/>
  <c r="AW44" i="8"/>
  <c r="X44" i="8"/>
  <c r="AB44" i="8"/>
  <c r="AW43" i="8"/>
  <c r="AR43" i="8"/>
  <c r="AB43" i="8"/>
  <c r="AG43" i="8"/>
  <c r="O44" i="8"/>
  <c r="AZ44" i="8"/>
  <c r="N44" i="8"/>
  <c r="M44" i="8"/>
  <c r="R44" i="8"/>
  <c r="S44" i="8"/>
  <c r="P44" i="8"/>
  <c r="BA43" i="8"/>
  <c r="AZ43" i="8"/>
  <c r="M43" i="8"/>
  <c r="S43" i="8"/>
  <c r="R43" i="8"/>
  <c r="L43" i="8"/>
  <c r="F55" i="6"/>
  <c r="F60" i="6"/>
  <c r="E38" i="6"/>
  <c r="F40" i="6"/>
  <c r="F33" i="6" l="1"/>
  <c r="I46" i="8"/>
  <c r="BB48" i="8"/>
  <c r="H48" i="8"/>
  <c r="I48" i="8" s="1"/>
  <c r="G45" i="8"/>
  <c r="W45" i="8"/>
  <c r="W46" i="8" s="1"/>
  <c r="W47" i="8" s="1"/>
  <c r="W48" i="8" s="1"/>
  <c r="V45" i="8"/>
  <c r="R31" i="6"/>
  <c r="R36" i="6"/>
  <c r="AU14" i="6"/>
  <c r="AU9" i="6"/>
  <c r="AP36" i="6"/>
  <c r="W8" i="6"/>
  <c r="AU5" i="6"/>
  <c r="W7" i="6"/>
  <c r="W26" i="6" s="1"/>
  <c r="AU7" i="6"/>
  <c r="AP35" i="6"/>
  <c r="AO33" i="6"/>
  <c r="AP33" i="6" s="1"/>
  <c r="AP31" i="6"/>
  <c r="AP46" i="6"/>
  <c r="Q33" i="6"/>
  <c r="R33" i="6" s="1"/>
  <c r="BB43" i="8"/>
  <c r="L44" i="8"/>
  <c r="Z44" i="8"/>
  <c r="X43" i="8"/>
  <c r="BA44" i="8"/>
  <c r="BB44" i="8" s="1"/>
  <c r="K44" i="8"/>
  <c r="Q44" i="8" s="1"/>
  <c r="T44" i="8"/>
  <c r="Y43" i="8"/>
  <c r="Z43" i="8" s="1"/>
  <c r="T43" i="8"/>
  <c r="K43" i="8"/>
  <c r="Q43" i="8" s="1"/>
  <c r="U43" i="8"/>
  <c r="H43" i="8" s="1"/>
  <c r="C46" i="6"/>
  <c r="E46" i="6"/>
  <c r="C48" i="6"/>
  <c r="F48" i="6" s="1"/>
  <c r="K25" i="6"/>
  <c r="AD56" i="6"/>
  <c r="AD54" i="6"/>
  <c r="AA53" i="6"/>
  <c r="AD53" i="6" s="1"/>
  <c r="AD52" i="6"/>
  <c r="AD51" i="6"/>
  <c r="AD50" i="6"/>
  <c r="AD49" i="6"/>
  <c r="AD48" i="6"/>
  <c r="AD47" i="6"/>
  <c r="AD46" i="6"/>
  <c r="AD45" i="6"/>
  <c r="AD44" i="6"/>
  <c r="AA43" i="6"/>
  <c r="AD43" i="6" s="1"/>
  <c r="AA42" i="6"/>
  <c r="AD42" i="6" s="1"/>
  <c r="AA41" i="6"/>
  <c r="AC41" i="6" s="1"/>
  <c r="AD41" i="6" s="1"/>
  <c r="AA40" i="6"/>
  <c r="AD40" i="6" s="1"/>
  <c r="AA39" i="6"/>
  <c r="AC39" i="6" s="1"/>
  <c r="AD39" i="6" s="1"/>
  <c r="AD38" i="6"/>
  <c r="AC37" i="6"/>
  <c r="AD37" i="6" s="1"/>
  <c r="AC36" i="6"/>
  <c r="AD36" i="6" s="1"/>
  <c r="AC35" i="6"/>
  <c r="AD35" i="6" s="1"/>
  <c r="AD34" i="6"/>
  <c r="AC33" i="6"/>
  <c r="AB33" i="6"/>
  <c r="AC32" i="6"/>
  <c r="AD32" i="6" s="1"/>
  <c r="AC31" i="6"/>
  <c r="AD31" i="6" s="1"/>
  <c r="AC30" i="6"/>
  <c r="AB30" i="6"/>
  <c r="AC29" i="6"/>
  <c r="AB29" i="6"/>
  <c r="AC28" i="6"/>
  <c r="AD28" i="6" s="1"/>
  <c r="AI24" i="6"/>
  <c r="AF23" i="6"/>
  <c r="AI23" i="6" s="1"/>
  <c r="AF22" i="6"/>
  <c r="AI22" i="6" s="1"/>
  <c r="AF21" i="6"/>
  <c r="AI21" i="6" s="1"/>
  <c r="AF20" i="6"/>
  <c r="AI20" i="6" s="1"/>
  <c r="AF19" i="6"/>
  <c r="AI19" i="6" s="1"/>
  <c r="AF18" i="6"/>
  <c r="AI18" i="6" s="1"/>
  <c r="AF17" i="6"/>
  <c r="AI17" i="6" s="1"/>
  <c r="AI16" i="6"/>
  <c r="AE15" i="6"/>
  <c r="AI15" i="6" s="1"/>
  <c r="AE14" i="6"/>
  <c r="AI14" i="6" s="1"/>
  <c r="AE13" i="6"/>
  <c r="AI13" i="6" s="1"/>
  <c r="AI12" i="6"/>
  <c r="AI11" i="6"/>
  <c r="AI10" i="6"/>
  <c r="AC9" i="6"/>
  <c r="AI9" i="6" s="1"/>
  <c r="AF8" i="6"/>
  <c r="AE8" i="6"/>
  <c r="AF7" i="6"/>
  <c r="AE7" i="6"/>
  <c r="AF6" i="6"/>
  <c r="AE6" i="6"/>
  <c r="AF5" i="6"/>
  <c r="AE5" i="6"/>
  <c r="AE4" i="6"/>
  <c r="AI4" i="6" s="1"/>
  <c r="AE3" i="6"/>
  <c r="AI3" i="6" s="1"/>
  <c r="AI2" i="6"/>
  <c r="F52" i="6"/>
  <c r="F45" i="6"/>
  <c r="H17" i="6"/>
  <c r="K17" i="6" s="1"/>
  <c r="H18" i="6"/>
  <c r="K18" i="6" s="1"/>
  <c r="H5" i="6"/>
  <c r="F37" i="6"/>
  <c r="D34" i="6"/>
  <c r="F43" i="6"/>
  <c r="E36" i="6"/>
  <c r="D36" i="6"/>
  <c r="E30" i="6"/>
  <c r="F61" i="6"/>
  <c r="F59" i="6"/>
  <c r="C58" i="6"/>
  <c r="F58" i="6" s="1"/>
  <c r="F57" i="6"/>
  <c r="F56" i="6"/>
  <c r="F54" i="6"/>
  <c r="F53" i="6"/>
  <c r="F51" i="6"/>
  <c r="F50" i="6"/>
  <c r="F49" i="6"/>
  <c r="F47" i="6"/>
  <c r="F42" i="6"/>
  <c r="F41" i="6"/>
  <c r="E39" i="6"/>
  <c r="F39" i="6" s="1"/>
  <c r="F38" i="6"/>
  <c r="E34" i="6"/>
  <c r="E32" i="6"/>
  <c r="F32" i="6" s="1"/>
  <c r="E31" i="6"/>
  <c r="D31" i="6"/>
  <c r="E29" i="6"/>
  <c r="F29" i="6" s="1"/>
  <c r="H23" i="6"/>
  <c r="K23" i="6" s="1"/>
  <c r="H22" i="6"/>
  <c r="K22" i="6" s="1"/>
  <c r="H21" i="6"/>
  <c r="K21" i="6" s="1"/>
  <c r="H20" i="6"/>
  <c r="K20" i="6" s="1"/>
  <c r="H19" i="6"/>
  <c r="K19" i="6" s="1"/>
  <c r="K16" i="6"/>
  <c r="G15" i="6"/>
  <c r="K15" i="6" s="1"/>
  <c r="G14" i="6"/>
  <c r="K14" i="6" s="1"/>
  <c r="G13" i="6"/>
  <c r="K13" i="6" s="1"/>
  <c r="K12" i="6"/>
  <c r="K11" i="6"/>
  <c r="K10" i="6"/>
  <c r="E9" i="6"/>
  <c r="K9" i="6" s="1"/>
  <c r="H8" i="6"/>
  <c r="G8" i="6"/>
  <c r="H7" i="6"/>
  <c r="G7" i="6"/>
  <c r="H6" i="6"/>
  <c r="G6" i="6"/>
  <c r="G5" i="6"/>
  <c r="G4" i="6"/>
  <c r="K4" i="6" s="1"/>
  <c r="G3" i="6"/>
  <c r="K3" i="6" s="1"/>
  <c r="K2" i="6"/>
  <c r="BQ42" i="8"/>
  <c r="BF42" i="8"/>
  <c r="BC42" i="8"/>
  <c r="BD42" i="8"/>
  <c r="BN42" i="8"/>
  <c r="BO42" i="8"/>
  <c r="AX42" i="8"/>
  <c r="AF42" i="8"/>
  <c r="AI5" i="6" l="1"/>
  <c r="R63" i="6"/>
  <c r="I45" i="8"/>
  <c r="J45" i="8"/>
  <c r="J46" i="8" s="1"/>
  <c r="J47" i="8" s="1"/>
  <c r="J48" i="8" s="1"/>
  <c r="AU26" i="6"/>
  <c r="AP63" i="6"/>
  <c r="W63" i="6"/>
  <c r="M3" i="6" s="1"/>
  <c r="AD30" i="6"/>
  <c r="F46" i="6"/>
  <c r="V44" i="8"/>
  <c r="G44" i="8"/>
  <c r="H44" i="8"/>
  <c r="G43" i="8"/>
  <c r="V43" i="8"/>
  <c r="AI8" i="6"/>
  <c r="AD29" i="6"/>
  <c r="AD33" i="6"/>
  <c r="AI7" i="6"/>
  <c r="AI6" i="6"/>
  <c r="K8" i="6"/>
  <c r="K5" i="6"/>
  <c r="F36" i="6"/>
  <c r="F34" i="6"/>
  <c r="F30" i="6"/>
  <c r="F35" i="6"/>
  <c r="F44" i="6"/>
  <c r="K7" i="6"/>
  <c r="K6" i="6"/>
  <c r="F31" i="6"/>
  <c r="AQ42" i="8"/>
  <c r="AL42" i="8"/>
  <c r="AY42" i="8"/>
  <c r="AM42" i="8"/>
  <c r="AO41" i="8"/>
  <c r="AG42" i="8"/>
  <c r="AD42" i="8"/>
  <c r="AH41" i="8"/>
  <c r="AQ41" i="8"/>
  <c r="AD58" i="6" l="1"/>
  <c r="AU63" i="6"/>
  <c r="AK3" i="6" s="1"/>
  <c r="AI25" i="6"/>
  <c r="AI58" i="6" s="1"/>
  <c r="Y3" i="6" s="1"/>
  <c r="I44" i="8"/>
  <c r="I43" i="8"/>
  <c r="K26" i="6"/>
  <c r="F63" i="6"/>
  <c r="AQ40" i="8"/>
  <c r="BN40" i="8"/>
  <c r="BI41" i="8"/>
  <c r="BQ41" i="8"/>
  <c r="BN41" i="8"/>
  <c r="BD41" i="8"/>
  <c r="AF41" i="8"/>
  <c r="AU36" i="8"/>
  <c r="AY36" i="8"/>
  <c r="AU37" i="8"/>
  <c r="AY37" i="8"/>
  <c r="AU38" i="8"/>
  <c r="AY38" i="8"/>
  <c r="AU39" i="8"/>
  <c r="AY39" i="8"/>
  <c r="AU40" i="8"/>
  <c r="AY40" i="8"/>
  <c r="AY41" i="8"/>
  <c r="AL41" i="8"/>
  <c r="AM41" i="8"/>
  <c r="AM40" i="8"/>
  <c r="AV41" i="8"/>
  <c r="AG41" i="8"/>
  <c r="AB41" i="8"/>
  <c r="P42" i="8"/>
  <c r="AU42" i="8"/>
  <c r="AI42" i="8"/>
  <c r="X42" i="8"/>
  <c r="S42" i="8"/>
  <c r="R42" i="8"/>
  <c r="AX41" i="8"/>
  <c r="K63" i="6" l="1"/>
  <c r="A3" i="6" s="1"/>
  <c r="M42" i="8"/>
  <c r="Y42" i="8"/>
  <c r="Z42" i="8" s="1"/>
  <c r="AZ42" i="8"/>
  <c r="O42" i="8"/>
  <c r="N42" i="8"/>
  <c r="BA42" i="8"/>
  <c r="T42" i="8"/>
  <c r="U42" i="8"/>
  <c r="L42" i="8"/>
  <c r="K42" i="8"/>
  <c r="BH41" i="8"/>
  <c r="H42" i="8" l="1"/>
  <c r="Q42" i="8"/>
  <c r="V42" i="8"/>
  <c r="G42" i="8"/>
  <c r="BR41" i="8"/>
  <c r="BF41" i="8"/>
  <c r="BP41" i="8"/>
  <c r="AP41" i="8"/>
  <c r="AU41" i="8"/>
  <c r="AR41" i="8"/>
  <c r="P41" i="8" s="1"/>
  <c r="AD41" i="8"/>
  <c r="O2" i="8"/>
  <c r="M2" i="8"/>
  <c r="M3" i="8"/>
  <c r="M4" i="8"/>
  <c r="M5" i="8"/>
  <c r="M6" i="8"/>
  <c r="M7" i="8"/>
  <c r="M8" i="8"/>
  <c r="M9" i="8"/>
  <c r="M10" i="8"/>
  <c r="M12" i="8"/>
  <c r="M15" i="8"/>
  <c r="M18" i="8"/>
  <c r="M19" i="8"/>
  <c r="M22" i="8"/>
  <c r="M25" i="8"/>
  <c r="M28" i="8"/>
  <c r="M29" i="8"/>
  <c r="M35" i="8"/>
  <c r="L3" i="8"/>
  <c r="P5" i="8"/>
  <c r="P2" i="8"/>
  <c r="L6" i="8"/>
  <c r="L5" i="8"/>
  <c r="L4" i="8"/>
  <c r="L2" i="8"/>
  <c r="AY12" i="8"/>
  <c r="AY6" i="8"/>
  <c r="AY4" i="8"/>
  <c r="P4" i="8" s="1"/>
  <c r="AY3" i="8"/>
  <c r="I42" i="8" l="1"/>
  <c r="BR17" i="8"/>
  <c r="BC17" i="8"/>
  <c r="BO17" i="7"/>
  <c r="AZ17" i="7"/>
  <c r="L2" i="7" l="1"/>
  <c r="K3" i="7"/>
  <c r="K4" i="7"/>
  <c r="K5" i="7"/>
  <c r="K6" i="7"/>
  <c r="K2" i="7"/>
  <c r="AB12" i="7"/>
  <c r="AN12" i="7"/>
  <c r="T3" i="7"/>
  <c r="T4" i="7"/>
  <c r="T5" i="7"/>
  <c r="T6" i="7"/>
  <c r="T2" i="7"/>
  <c r="D33" i="7"/>
  <c r="D34" i="7" s="1"/>
  <c r="D21" i="7"/>
  <c r="D22" i="7" s="1"/>
  <c r="F10" i="7"/>
  <c r="E10" i="7"/>
  <c r="D10" i="7"/>
  <c r="C7" i="7"/>
  <c r="C8" i="7" s="1"/>
  <c r="C9" i="7" s="1"/>
  <c r="C10" i="7" s="1"/>
  <c r="X3" i="8"/>
  <c r="X4" i="8"/>
  <c r="X5" i="8"/>
  <c r="X6" i="8"/>
  <c r="X2" i="8"/>
  <c r="D21" i="8"/>
  <c r="D22" i="8" s="1"/>
  <c r="BK41" i="8" l="1"/>
  <c r="AI41" i="8"/>
  <c r="S41" i="8"/>
  <c r="N2" i="7"/>
  <c r="N3" i="7"/>
  <c r="N4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3" i="7"/>
  <c r="O22" i="7"/>
  <c r="O21" i="7"/>
  <c r="O20" i="7"/>
  <c r="O19" i="7"/>
  <c r="O18" i="7"/>
  <c r="O17" i="7"/>
  <c r="O16" i="7"/>
  <c r="O15" i="7"/>
  <c r="O14" i="7"/>
  <c r="O12" i="7"/>
  <c r="O11" i="7"/>
  <c r="O9" i="7"/>
  <c r="O8" i="7"/>
  <c r="O7" i="7"/>
  <c r="O6" i="7"/>
  <c r="O5" i="7"/>
  <c r="O4" i="7"/>
  <c r="O3" i="7"/>
  <c r="O2" i="7"/>
  <c r="S3" i="8"/>
  <c r="S4" i="8"/>
  <c r="S5" i="8"/>
  <c r="S6" i="8"/>
  <c r="S7" i="8"/>
  <c r="S8" i="8"/>
  <c r="S9" i="8"/>
  <c r="S11" i="8"/>
  <c r="S12" i="8"/>
  <c r="S14" i="8"/>
  <c r="S15" i="8"/>
  <c r="S16" i="8"/>
  <c r="S17" i="8"/>
  <c r="S18" i="8"/>
  <c r="S19" i="8"/>
  <c r="S20" i="8"/>
  <c r="S21" i="8"/>
  <c r="S22" i="8"/>
  <c r="S23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2" i="8"/>
  <c r="N5" i="7"/>
  <c r="N6" i="7"/>
  <c r="N9" i="7"/>
  <c r="N10" i="7"/>
  <c r="N11" i="7"/>
  <c r="N13" i="7"/>
  <c r="N14" i="7"/>
  <c r="N15" i="7"/>
  <c r="N18" i="7"/>
  <c r="N20" i="7"/>
  <c r="N26" i="7"/>
  <c r="N27" i="7"/>
  <c r="N32" i="7"/>
  <c r="N38" i="7"/>
  <c r="R3" i="8"/>
  <c r="R4" i="8"/>
  <c r="R5" i="8"/>
  <c r="R6" i="8"/>
  <c r="R9" i="8"/>
  <c r="R10" i="8"/>
  <c r="R11" i="8"/>
  <c r="R13" i="8"/>
  <c r="R14" i="8"/>
  <c r="R15" i="8"/>
  <c r="R18" i="8"/>
  <c r="R20" i="8"/>
  <c r="R26" i="8"/>
  <c r="R27" i="8"/>
  <c r="R32" i="8"/>
  <c r="R38" i="8"/>
  <c r="R2" i="8"/>
  <c r="BQ40" i="8"/>
  <c r="BM40" i="8"/>
  <c r="BK40" i="8"/>
  <c r="BI40" i="8"/>
  <c r="BF40" i="8"/>
  <c r="BD40" i="8"/>
  <c r="BC40" i="8"/>
  <c r="AX40" i="8"/>
  <c r="AW40" i="8"/>
  <c r="AR40" i="8"/>
  <c r="P40" i="8" s="1"/>
  <c r="AP40" i="8"/>
  <c r="AO40" i="8"/>
  <c r="AL40" i="8"/>
  <c r="AI40" i="8"/>
  <c r="AH40" i="8"/>
  <c r="AF40" i="8"/>
  <c r="M40" i="8"/>
  <c r="AC40" i="8"/>
  <c r="AB40" i="8"/>
  <c r="BR39" i="8"/>
  <c r="P39" i="8" s="1"/>
  <c r="BQ39" i="8"/>
  <c r="BN39" i="8"/>
  <c r="BK39" i="8"/>
  <c r="BD39" i="8"/>
  <c r="BC39" i="8"/>
  <c r="AX39" i="8"/>
  <c r="AW39" i="8"/>
  <c r="AQ39" i="8"/>
  <c r="AP39" i="8"/>
  <c r="AO39" i="8"/>
  <c r="AM39" i="8"/>
  <c r="AL39" i="8"/>
  <c r="AI39" i="8"/>
  <c r="AH39" i="8"/>
  <c r="AG39" i="8"/>
  <c r="M39" i="8" s="1"/>
  <c r="AF39" i="8"/>
  <c r="AC39" i="8"/>
  <c r="AB39" i="8"/>
  <c r="BQ38" i="8"/>
  <c r="BN38" i="8"/>
  <c r="BM38" i="8"/>
  <c r="BL38" i="8"/>
  <c r="BK38" i="8"/>
  <c r="BH38" i="8"/>
  <c r="BD38" i="8"/>
  <c r="AX38" i="8"/>
  <c r="AR38" i="8"/>
  <c r="AQ38" i="8"/>
  <c r="AP38" i="8"/>
  <c r="AM38" i="8"/>
  <c r="AL38" i="8"/>
  <c r="AK38" i="8"/>
  <c r="AI38" i="8"/>
  <c r="AH38" i="8"/>
  <c r="AG38" i="8"/>
  <c r="AF38" i="8"/>
  <c r="AB38" i="8"/>
  <c r="BN37" i="8"/>
  <c r="BM37" i="8"/>
  <c r="BL37" i="8"/>
  <c r="BK37" i="8"/>
  <c r="BI37" i="8"/>
  <c r="BF37" i="8"/>
  <c r="M37" i="8" s="1"/>
  <c r="BD37" i="8"/>
  <c r="BC37" i="8"/>
  <c r="R37" i="8" s="1"/>
  <c r="AX37" i="8"/>
  <c r="AW37" i="8"/>
  <c r="AR37" i="8"/>
  <c r="AQ37" i="8"/>
  <c r="AM37" i="8"/>
  <c r="AL37" i="8"/>
  <c r="AJ37" i="8"/>
  <c r="AI37" i="8"/>
  <c r="AF37" i="8"/>
  <c r="AB37" i="8"/>
  <c r="BQ36" i="8"/>
  <c r="BN36" i="8"/>
  <c r="BM36" i="8"/>
  <c r="BL36" i="8"/>
  <c r="BK36" i="8"/>
  <c r="BI36" i="8"/>
  <c r="BG36" i="8"/>
  <c r="BF36" i="8"/>
  <c r="BD36" i="8"/>
  <c r="BC36" i="8"/>
  <c r="AX36" i="8"/>
  <c r="AW36" i="8"/>
  <c r="AV36" i="8"/>
  <c r="AR36" i="8"/>
  <c r="AQ36" i="8"/>
  <c r="AP36" i="8"/>
  <c r="AO36" i="8"/>
  <c r="AN36" i="8"/>
  <c r="AM36" i="8"/>
  <c r="AL36" i="8"/>
  <c r="AI36" i="8"/>
  <c r="AH36" i="8"/>
  <c r="AG36" i="8"/>
  <c r="AF36" i="8"/>
  <c r="AD36" i="8"/>
  <c r="AB36" i="8"/>
  <c r="BR35" i="8"/>
  <c r="BQ35" i="8"/>
  <c r="BN35" i="8"/>
  <c r="BM35" i="8"/>
  <c r="BL35" i="8"/>
  <c r="BI35" i="8"/>
  <c r="BD35" i="8"/>
  <c r="BC35" i="8"/>
  <c r="AY35" i="8"/>
  <c r="AX35" i="8"/>
  <c r="AW35" i="8"/>
  <c r="AV35" i="8"/>
  <c r="AQ35" i="8"/>
  <c r="AO35" i="8"/>
  <c r="AN35" i="8"/>
  <c r="AM35" i="8"/>
  <c r="AL35" i="8"/>
  <c r="AK35" i="8"/>
  <c r="AI35" i="8"/>
  <c r="AH35" i="8"/>
  <c r="AF35" i="8"/>
  <c r="AC35" i="8"/>
  <c r="AB35" i="8"/>
  <c r="BQ34" i="8"/>
  <c r="BN34" i="8"/>
  <c r="BF34" i="8"/>
  <c r="BD34" i="8"/>
  <c r="BC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H34" i="8"/>
  <c r="AF34" i="8"/>
  <c r="AD34" i="8"/>
  <c r="AC34" i="8"/>
  <c r="AB34" i="8"/>
  <c r="BR33" i="8"/>
  <c r="BQ33" i="8"/>
  <c r="BN33" i="8"/>
  <c r="BF33" i="8"/>
  <c r="BD33" i="8"/>
  <c r="BC33" i="8"/>
  <c r="AY33" i="8"/>
  <c r="AX33" i="8"/>
  <c r="AW33" i="8"/>
  <c r="AU33" i="8"/>
  <c r="AS33" i="8"/>
  <c r="AQ33" i="8"/>
  <c r="AP33" i="8"/>
  <c r="AO33" i="8"/>
  <c r="AN33" i="8"/>
  <c r="AM33" i="8"/>
  <c r="AL33" i="8"/>
  <c r="AK33" i="8"/>
  <c r="AI33" i="8"/>
  <c r="AH33" i="8"/>
  <c r="AG33" i="8"/>
  <c r="AF33" i="8"/>
  <c r="AD33" i="8"/>
  <c r="AC33" i="8"/>
  <c r="AB33" i="8"/>
  <c r="BN32" i="8"/>
  <c r="BJ32" i="8"/>
  <c r="BI32" i="8"/>
  <c r="BH32" i="8"/>
  <c r="BD32" i="8"/>
  <c r="AY32" i="8"/>
  <c r="AX32" i="8"/>
  <c r="AW32" i="8"/>
  <c r="AQ32" i="8"/>
  <c r="AP32" i="8"/>
  <c r="AM32" i="8"/>
  <c r="AL32" i="8"/>
  <c r="AJ32" i="8"/>
  <c r="AI32" i="8"/>
  <c r="AH32" i="8"/>
  <c r="AG32" i="8"/>
  <c r="M32" i="8" s="1"/>
  <c r="AF32" i="8"/>
  <c r="AB32" i="8"/>
  <c r="BR31" i="8"/>
  <c r="BN31" i="8"/>
  <c r="BD31" i="8"/>
  <c r="BC31" i="8"/>
  <c r="AY31" i="8"/>
  <c r="AX31" i="8"/>
  <c r="AW31" i="8"/>
  <c r="AQ31" i="8"/>
  <c r="AP31" i="8"/>
  <c r="AM31" i="8"/>
  <c r="AL31" i="8"/>
  <c r="AI31" i="8"/>
  <c r="AH31" i="8"/>
  <c r="AG31" i="8"/>
  <c r="M31" i="8" s="1"/>
  <c r="AF31" i="8"/>
  <c r="AB31" i="8"/>
  <c r="BP30" i="8"/>
  <c r="BN30" i="8"/>
  <c r="BD30" i="8"/>
  <c r="BC30" i="8"/>
  <c r="AY30" i="8"/>
  <c r="P30" i="8" s="1"/>
  <c r="AX30" i="8"/>
  <c r="AW30" i="8"/>
  <c r="AU30" i="8"/>
  <c r="AQ30" i="8"/>
  <c r="AP30" i="8"/>
  <c r="AM30" i="8"/>
  <c r="AL30" i="8"/>
  <c r="AI30" i="8"/>
  <c r="AG30" i="8"/>
  <c r="M30" i="8" s="1"/>
  <c r="AF30" i="8"/>
  <c r="AC30" i="8"/>
  <c r="AB30" i="8"/>
  <c r="BN29" i="8"/>
  <c r="BI29" i="8"/>
  <c r="BD29" i="8"/>
  <c r="BC29" i="8"/>
  <c r="AY29" i="8"/>
  <c r="AX29" i="8"/>
  <c r="AW29" i="8"/>
  <c r="AR29" i="8"/>
  <c r="AQ29" i="8"/>
  <c r="AP29" i="8"/>
  <c r="AO29" i="8"/>
  <c r="AM29" i="8"/>
  <c r="AL29" i="8"/>
  <c r="AK29" i="8"/>
  <c r="AI29" i="8"/>
  <c r="AF29" i="8"/>
  <c r="AC29" i="8"/>
  <c r="AB29" i="8"/>
  <c r="BQ28" i="8"/>
  <c r="BN28" i="8"/>
  <c r="BM28" i="8"/>
  <c r="BD28" i="8"/>
  <c r="AZ28" i="8" s="1"/>
  <c r="AY28" i="8"/>
  <c r="P28" i="8" s="1"/>
  <c r="AX28" i="8"/>
  <c r="AW28" i="8"/>
  <c r="AQ28" i="8"/>
  <c r="AP28" i="8"/>
  <c r="AM28" i="8"/>
  <c r="AL28" i="8"/>
  <c r="AI28" i="8"/>
  <c r="AH28" i="8"/>
  <c r="AF28" i="8"/>
  <c r="AC28" i="8"/>
  <c r="AB28" i="8"/>
  <c r="BR27" i="8"/>
  <c r="BN27" i="8"/>
  <c r="BI27" i="8"/>
  <c r="BH27" i="8"/>
  <c r="M27" i="8" s="1"/>
  <c r="BD27" i="8"/>
  <c r="AY27" i="8"/>
  <c r="AX27" i="8"/>
  <c r="AW27" i="8"/>
  <c r="AP27" i="8"/>
  <c r="AO27" i="8"/>
  <c r="AN27" i="8"/>
  <c r="AM27" i="8"/>
  <c r="AL27" i="8"/>
  <c r="AI27" i="8"/>
  <c r="AF27" i="8"/>
  <c r="AB27" i="8"/>
  <c r="BQ26" i="8"/>
  <c r="BN26" i="8"/>
  <c r="BI26" i="8"/>
  <c r="BD26" i="8"/>
  <c r="AZ26" i="8" s="1"/>
  <c r="AY26" i="8"/>
  <c r="AX26" i="8"/>
  <c r="AW26" i="8"/>
  <c r="AS26" i="8"/>
  <c r="AR26" i="8"/>
  <c r="AQ26" i="8"/>
  <c r="AP26" i="8"/>
  <c r="AO26" i="8"/>
  <c r="AM26" i="8"/>
  <c r="AL26" i="8"/>
  <c r="AI26" i="8"/>
  <c r="AG26" i="8"/>
  <c r="M26" i="8" s="1"/>
  <c r="AF26" i="8"/>
  <c r="AB26" i="8"/>
  <c r="BQ25" i="8"/>
  <c r="BN25" i="8"/>
  <c r="BI25" i="8"/>
  <c r="BD25" i="8"/>
  <c r="BC25" i="8"/>
  <c r="AY25" i="8"/>
  <c r="AX25" i="8"/>
  <c r="AW25" i="8"/>
  <c r="AT25" i="8"/>
  <c r="AR25" i="8"/>
  <c r="AP25" i="8"/>
  <c r="AM25" i="8"/>
  <c r="AL25" i="8"/>
  <c r="AI25" i="8"/>
  <c r="AF25" i="8"/>
  <c r="AE25" i="8"/>
  <c r="S25" i="8" s="1"/>
  <c r="AC25" i="8"/>
  <c r="AB25" i="8"/>
  <c r="BQ24" i="8"/>
  <c r="BN24" i="8"/>
  <c r="BI24" i="8"/>
  <c r="BH24" i="8"/>
  <c r="M24" i="8" s="1"/>
  <c r="BE24" i="8"/>
  <c r="S24" i="8" s="1"/>
  <c r="BD24" i="8"/>
  <c r="BC24" i="8"/>
  <c r="AY24" i="8"/>
  <c r="AX24" i="8"/>
  <c r="AW24" i="8"/>
  <c r="AV24" i="8"/>
  <c r="AR24" i="8"/>
  <c r="AQ24" i="8"/>
  <c r="AP24" i="8"/>
  <c r="AM24" i="8"/>
  <c r="AL24" i="8"/>
  <c r="AK24" i="8"/>
  <c r="AI24" i="8"/>
  <c r="AH24" i="8"/>
  <c r="AF24" i="8"/>
  <c r="AC24" i="8"/>
  <c r="AB24" i="8"/>
  <c r="BN23" i="8"/>
  <c r="BK23" i="8"/>
  <c r="BI23" i="8"/>
  <c r="BH23" i="8"/>
  <c r="M23" i="8" s="1"/>
  <c r="BD23" i="8"/>
  <c r="BC23" i="8"/>
  <c r="R23" i="8" s="1"/>
  <c r="AY23" i="8"/>
  <c r="P23" i="8" s="1"/>
  <c r="AX23" i="8"/>
  <c r="AW23" i="8"/>
  <c r="AV23" i="8"/>
  <c r="AU23" i="8"/>
  <c r="AR23" i="8"/>
  <c r="AQ23" i="8"/>
  <c r="AM23" i="8"/>
  <c r="AL23" i="8"/>
  <c r="AK23" i="8"/>
  <c r="AI23" i="8"/>
  <c r="AH23" i="8"/>
  <c r="AF23" i="8"/>
  <c r="AB23" i="8"/>
  <c r="BN22" i="8"/>
  <c r="BK22" i="8"/>
  <c r="BI22" i="8"/>
  <c r="BD22" i="8"/>
  <c r="BC22" i="8"/>
  <c r="AY22" i="8"/>
  <c r="AX22" i="8"/>
  <c r="AW22" i="8"/>
  <c r="AR22" i="8"/>
  <c r="AQ22" i="8"/>
  <c r="AP22" i="8"/>
  <c r="AN22" i="8"/>
  <c r="AM22" i="8"/>
  <c r="AL22" i="8"/>
  <c r="AI22" i="8"/>
  <c r="AH22" i="8"/>
  <c r="AF22" i="8"/>
  <c r="AC22" i="8"/>
  <c r="AB22" i="8"/>
  <c r="BN21" i="8"/>
  <c r="BK21" i="8"/>
  <c r="BF21" i="8"/>
  <c r="BD21" i="8"/>
  <c r="BC21" i="8"/>
  <c r="AY21" i="8"/>
  <c r="P21" i="8" s="1"/>
  <c r="AX21" i="8"/>
  <c r="AW21" i="8"/>
  <c r="AU21" i="8"/>
  <c r="AQ21" i="8"/>
  <c r="AP21" i="8"/>
  <c r="AM21" i="8"/>
  <c r="AL21" i="8"/>
  <c r="AI21" i="8"/>
  <c r="AH21" i="8"/>
  <c r="AF21" i="8"/>
  <c r="AD21" i="8"/>
  <c r="M21" i="8" s="1"/>
  <c r="AC21" i="8"/>
  <c r="AB21" i="8"/>
  <c r="BR20" i="8"/>
  <c r="BQ20" i="8"/>
  <c r="BN20" i="8"/>
  <c r="BI20" i="8"/>
  <c r="BH20" i="8"/>
  <c r="BD20" i="8"/>
  <c r="AY20" i="8"/>
  <c r="AX20" i="8"/>
  <c r="AQ20" i="8"/>
  <c r="AP20" i="8"/>
  <c r="AM20" i="8"/>
  <c r="AL20" i="8"/>
  <c r="AK20" i="8"/>
  <c r="AI20" i="8"/>
  <c r="AH20" i="8"/>
  <c r="AG20" i="8"/>
  <c r="M20" i="8" s="1"/>
  <c r="AF20" i="8"/>
  <c r="BN19" i="8"/>
  <c r="BA19" i="8" s="1"/>
  <c r="BC19" i="8"/>
  <c r="AZ19" i="8" s="1"/>
  <c r="AY19" i="8"/>
  <c r="AX19" i="8"/>
  <c r="AM19" i="8"/>
  <c r="AL19" i="8"/>
  <c r="AK19" i="8"/>
  <c r="AI19" i="8"/>
  <c r="AH19" i="8"/>
  <c r="L19" i="8" s="1"/>
  <c r="AF19" i="8"/>
  <c r="BN18" i="8"/>
  <c r="BI18" i="8"/>
  <c r="L18" i="8" s="1"/>
  <c r="AZ18" i="8"/>
  <c r="AY18" i="8"/>
  <c r="P18" i="8" s="1"/>
  <c r="AX18" i="8"/>
  <c r="AV18" i="8"/>
  <c r="AM18" i="8"/>
  <c r="AL18" i="8"/>
  <c r="AF18" i="8"/>
  <c r="X18" i="8" s="1"/>
  <c r="AA18" i="8"/>
  <c r="BN17" i="8"/>
  <c r="BI17" i="8"/>
  <c r="BH17" i="8"/>
  <c r="M17" i="8" s="1"/>
  <c r="BD17" i="8"/>
  <c r="R17" i="8"/>
  <c r="AY17" i="8"/>
  <c r="P17" i="8" s="1"/>
  <c r="AX17" i="8"/>
  <c r="AV17" i="8"/>
  <c r="AQ17" i="8"/>
  <c r="AM17" i="8"/>
  <c r="AL17" i="8"/>
  <c r="O17" i="8" s="1"/>
  <c r="AF17" i="8"/>
  <c r="X17" i="8" s="1"/>
  <c r="BN16" i="8"/>
  <c r="BL16" i="8"/>
  <c r="BI16" i="8"/>
  <c r="BD16" i="8"/>
  <c r="AY16" i="8"/>
  <c r="AX16" i="8"/>
  <c r="AQ16" i="8"/>
  <c r="AP16" i="8"/>
  <c r="AM16" i="8"/>
  <c r="AL16" i="8"/>
  <c r="AK16" i="8"/>
  <c r="AI16" i="8"/>
  <c r="AH16" i="8"/>
  <c r="AG16" i="8"/>
  <c r="M16" i="8" s="1"/>
  <c r="AF16" i="8"/>
  <c r="AC16" i="8"/>
  <c r="AA16" i="8"/>
  <c r="BN15" i="8"/>
  <c r="BL15" i="8"/>
  <c r="BD15" i="8"/>
  <c r="L15" i="8" s="1"/>
  <c r="AY15" i="8"/>
  <c r="AX15" i="8"/>
  <c r="AV15" i="8"/>
  <c r="AS15" i="8"/>
  <c r="AQ15" i="8"/>
  <c r="AM15" i="8"/>
  <c r="AL15" i="8"/>
  <c r="AF15" i="8"/>
  <c r="X15" i="8" s="1"/>
  <c r="BQ14" i="8"/>
  <c r="BN14" i="8"/>
  <c r="BL14" i="8"/>
  <c r="BI14" i="8"/>
  <c r="BH14" i="8"/>
  <c r="BD14" i="8"/>
  <c r="AY14" i="8"/>
  <c r="P14" i="8" s="1"/>
  <c r="AX14" i="8"/>
  <c r="AV14" i="8"/>
  <c r="AP14" i="8"/>
  <c r="AM14" i="8"/>
  <c r="AL14" i="8"/>
  <c r="AH14" i="8"/>
  <c r="AG14" i="8"/>
  <c r="AF14" i="8"/>
  <c r="AB14" i="8"/>
  <c r="BR13" i="8"/>
  <c r="BN13" i="8"/>
  <c r="BM13" i="8"/>
  <c r="BL13" i="8"/>
  <c r="BI13" i="8"/>
  <c r="BF13" i="8"/>
  <c r="M13" i="8" s="1"/>
  <c r="BE13" i="8"/>
  <c r="S13" i="8" s="1"/>
  <c r="BD13" i="8"/>
  <c r="AY13" i="8"/>
  <c r="AX13" i="8"/>
  <c r="AV13" i="8"/>
  <c r="AQ13" i="8"/>
  <c r="AO13" i="8"/>
  <c r="AN13" i="8"/>
  <c r="AM13" i="8"/>
  <c r="AL13" i="8"/>
  <c r="O13" i="8" s="1"/>
  <c r="AH13" i="8"/>
  <c r="AF13" i="8"/>
  <c r="AB13" i="8"/>
  <c r="BR12" i="8"/>
  <c r="BN12" i="8"/>
  <c r="BL12" i="8"/>
  <c r="BI12" i="8"/>
  <c r="BD12" i="8"/>
  <c r="BC12" i="8"/>
  <c r="AX12" i="8"/>
  <c r="AV12" i="8"/>
  <c r="AQ12" i="8"/>
  <c r="AP12" i="8"/>
  <c r="AO12" i="8"/>
  <c r="AM12" i="8"/>
  <c r="AL12" i="8"/>
  <c r="AJ12" i="8"/>
  <c r="P12" i="8" s="1"/>
  <c r="AI12" i="8"/>
  <c r="AF12" i="8"/>
  <c r="AB12" i="8"/>
  <c r="BR11" i="8"/>
  <c r="BN11" i="8"/>
  <c r="BI11" i="8"/>
  <c r="BD11" i="8"/>
  <c r="AY11" i="8"/>
  <c r="AX11" i="8"/>
  <c r="AV11" i="8"/>
  <c r="AM11" i="8"/>
  <c r="AL11" i="8"/>
  <c r="AI11" i="8"/>
  <c r="AH11" i="8"/>
  <c r="AG11" i="8"/>
  <c r="M11" i="8" s="1"/>
  <c r="AF11" i="8"/>
  <c r="AB11" i="8"/>
  <c r="BI10" i="8"/>
  <c r="BA10" i="8" s="1"/>
  <c r="BD10" i="8"/>
  <c r="AZ10" i="8" s="1"/>
  <c r="AY10" i="8"/>
  <c r="AV10" i="8"/>
  <c r="AU10" i="8"/>
  <c r="AT10" i="8"/>
  <c r="AS10" i="8"/>
  <c r="AQ10" i="8"/>
  <c r="AP10" i="8"/>
  <c r="AM10" i="8"/>
  <c r="AL10" i="8"/>
  <c r="AK10" i="8"/>
  <c r="AJ10" i="8"/>
  <c r="AI10" i="8"/>
  <c r="AH10" i="8"/>
  <c r="AE10" i="8"/>
  <c r="S10" i="8" s="1"/>
  <c r="AB10" i="8"/>
  <c r="AA10" i="8"/>
  <c r="F10" i="8"/>
  <c r="E10" i="8"/>
  <c r="D10" i="8"/>
  <c r="D33" i="8" s="1"/>
  <c r="D34" i="8" s="1"/>
  <c r="BA9" i="8"/>
  <c r="AZ9" i="8"/>
  <c r="AY9" i="8"/>
  <c r="AV9" i="8"/>
  <c r="AU9" i="8"/>
  <c r="AQ9" i="8"/>
  <c r="AM9" i="8"/>
  <c r="AJ9" i="8"/>
  <c r="AI9" i="8"/>
  <c r="AF9" i="8"/>
  <c r="AB9" i="8"/>
  <c r="L9" i="8" s="1"/>
  <c r="BD8" i="8"/>
  <c r="BC8" i="8"/>
  <c r="R8" i="8" s="1"/>
  <c r="BA8" i="8"/>
  <c r="AY8" i="8"/>
  <c r="AV8" i="8"/>
  <c r="AS8" i="8"/>
  <c r="AR8" i="8"/>
  <c r="AP8" i="8"/>
  <c r="AM8" i="8"/>
  <c r="AL8" i="8"/>
  <c r="AK8" i="8"/>
  <c r="AJ8" i="8"/>
  <c r="AI8" i="8"/>
  <c r="AH8" i="8"/>
  <c r="AB8" i="8"/>
  <c r="BC7" i="8"/>
  <c r="AZ7" i="8" s="1"/>
  <c r="BA7" i="8"/>
  <c r="AY7" i="8"/>
  <c r="AV7" i="8"/>
  <c r="AS7" i="8"/>
  <c r="AP7" i="8"/>
  <c r="AM7" i="8"/>
  <c r="AL7" i="8"/>
  <c r="AK7" i="8"/>
  <c r="AJ7" i="8"/>
  <c r="AI7" i="8"/>
  <c r="AH7" i="8"/>
  <c r="AB7" i="8"/>
  <c r="C7" i="8"/>
  <c r="C8" i="8" s="1"/>
  <c r="C9" i="8" s="1"/>
  <c r="C10" i="8" s="1"/>
  <c r="BA6" i="8"/>
  <c r="AZ6" i="8"/>
  <c r="AV6" i="8"/>
  <c r="AM6" i="8"/>
  <c r="AK6" i="8"/>
  <c r="AJ6" i="8"/>
  <c r="T6" i="8"/>
  <c r="K6" i="8"/>
  <c r="BA5" i="8"/>
  <c r="AZ5" i="8"/>
  <c r="AV5" i="8"/>
  <c r="AI5" i="8"/>
  <c r="O5" i="8" s="1"/>
  <c r="T5" i="8"/>
  <c r="K5" i="8"/>
  <c r="BA4" i="8"/>
  <c r="AZ4" i="8"/>
  <c r="AV4" i="8"/>
  <c r="O4" i="8" s="1"/>
  <c r="T4" i="8"/>
  <c r="K4" i="8"/>
  <c r="BA3" i="8"/>
  <c r="AZ3" i="8"/>
  <c r="AJ3" i="8"/>
  <c r="P3" i="8" s="1"/>
  <c r="AI3" i="8"/>
  <c r="O3" i="8" s="1"/>
  <c r="AA3" i="8"/>
  <c r="T3" i="8" s="1"/>
  <c r="K3" i="8"/>
  <c r="BA2" i="8"/>
  <c r="AZ2" i="8"/>
  <c r="Y2" i="8"/>
  <c r="U2" i="8"/>
  <c r="T2" i="8"/>
  <c r="N2" i="8"/>
  <c r="K2" i="8"/>
  <c r="U2" i="7"/>
  <c r="AZ24" i="7"/>
  <c r="AZ35" i="7"/>
  <c r="BA40" i="7"/>
  <c r="BK40" i="7"/>
  <c r="BJ40" i="7"/>
  <c r="BF40" i="7"/>
  <c r="AZ40" i="7"/>
  <c r="BN40" i="7"/>
  <c r="BH40" i="7"/>
  <c r="BC40" i="7"/>
  <c r="BN39" i="7"/>
  <c r="AZ39" i="7"/>
  <c r="BH39" i="7"/>
  <c r="BO39" i="7"/>
  <c r="BA39" i="7"/>
  <c r="BK39" i="7"/>
  <c r="BK38" i="7"/>
  <c r="BI38" i="7"/>
  <c r="BJ38" i="7"/>
  <c r="BA38" i="7"/>
  <c r="BE38" i="7"/>
  <c r="BN38" i="7"/>
  <c r="BH38" i="7"/>
  <c r="BH37" i="7"/>
  <c r="BC37" i="7"/>
  <c r="BA37" i="7"/>
  <c r="BK37" i="7"/>
  <c r="BF37" i="7"/>
  <c r="BJ37" i="7"/>
  <c r="BI37" i="7"/>
  <c r="AZ37" i="7"/>
  <c r="N37" i="7" s="1"/>
  <c r="BA36" i="7"/>
  <c r="AZ36" i="7"/>
  <c r="N36" i="7" s="1"/>
  <c r="BK36" i="7"/>
  <c r="BN36" i="7"/>
  <c r="BH36" i="7"/>
  <c r="BD36" i="7"/>
  <c r="BC36" i="7"/>
  <c r="BF36" i="7"/>
  <c r="BJ36" i="7"/>
  <c r="BI36" i="7"/>
  <c r="BK35" i="7"/>
  <c r="BI35" i="7"/>
  <c r="BN35" i="7"/>
  <c r="BO35" i="7"/>
  <c r="BB24" i="7"/>
  <c r="O24" i="7" s="1"/>
  <c r="BA35" i="7"/>
  <c r="BF35" i="7"/>
  <c r="BJ35" i="7"/>
  <c r="BK34" i="7"/>
  <c r="BC34" i="7"/>
  <c r="BA34" i="7"/>
  <c r="AZ34" i="7"/>
  <c r="BN34" i="7"/>
  <c r="BN33" i="7"/>
  <c r="AZ33" i="7"/>
  <c r="BA33" i="7"/>
  <c r="BK33" i="7"/>
  <c r="BO33" i="7"/>
  <c r="BC33" i="7"/>
  <c r="AN40" i="7"/>
  <c r="AT40" i="7"/>
  <c r="AD40" i="7"/>
  <c r="AI40" i="7"/>
  <c r="AH40" i="7"/>
  <c r="AE40" i="7"/>
  <c r="AM40" i="7"/>
  <c r="AL40" i="7"/>
  <c r="AV40" i="7"/>
  <c r="AQ40" i="7"/>
  <c r="AK40" i="7"/>
  <c r="AB40" i="7"/>
  <c r="AS40" i="7"/>
  <c r="X40" i="7"/>
  <c r="Z40" i="7"/>
  <c r="Y40" i="7"/>
  <c r="AI39" i="7"/>
  <c r="AH39" i="7"/>
  <c r="AT39" i="7"/>
  <c r="AB39" i="7"/>
  <c r="AM39" i="7"/>
  <c r="AD39" i="7"/>
  <c r="AV39" i="7"/>
  <c r="AL39" i="7"/>
  <c r="AQ39" i="7"/>
  <c r="AE39" i="7"/>
  <c r="AK39" i="7"/>
  <c r="AC39" i="7"/>
  <c r="AS39" i="7"/>
  <c r="X39" i="7"/>
  <c r="Y39" i="7"/>
  <c r="AG38" i="7"/>
  <c r="AC38" i="7"/>
  <c r="AT38" i="7"/>
  <c r="AQ38" i="7"/>
  <c r="AV38" i="7"/>
  <c r="AH38" i="7"/>
  <c r="AD38" i="7"/>
  <c r="AM38" i="7"/>
  <c r="AI38" i="7"/>
  <c r="AN38" i="7"/>
  <c r="AE38" i="7"/>
  <c r="AL38" i="7"/>
  <c r="AB38" i="7"/>
  <c r="X38" i="7"/>
  <c r="AT37" i="7"/>
  <c r="AB37" i="7"/>
  <c r="AM37" i="7"/>
  <c r="AH37" i="7"/>
  <c r="AN37" i="7"/>
  <c r="AV37" i="7"/>
  <c r="AI37" i="7"/>
  <c r="AS37" i="7"/>
  <c r="AE37" i="7"/>
  <c r="AF37" i="7"/>
  <c r="X37" i="7"/>
  <c r="AH36" i="7"/>
  <c r="AB36" i="7"/>
  <c r="AT36" i="7"/>
  <c r="AK36" i="7"/>
  <c r="AN36" i="7"/>
  <c r="AI36" i="7"/>
  <c r="AE36" i="7"/>
  <c r="AV36" i="7"/>
  <c r="AM36" i="7"/>
  <c r="AR36" i="7"/>
  <c r="AJ36" i="7"/>
  <c r="AD36" i="7"/>
  <c r="AS36" i="7"/>
  <c r="X36" i="7"/>
  <c r="AC36" i="7"/>
  <c r="Z36" i="7"/>
  <c r="AL36" i="7"/>
  <c r="X35" i="7"/>
  <c r="AB35" i="7"/>
  <c r="AV35" i="7"/>
  <c r="AT35" i="7"/>
  <c r="AD35" i="7"/>
  <c r="AK35" i="7"/>
  <c r="AH35" i="7"/>
  <c r="AJ35" i="7"/>
  <c r="AM35" i="7"/>
  <c r="AI35" i="7"/>
  <c r="AR35" i="7"/>
  <c r="AE35" i="7"/>
  <c r="AS35" i="7"/>
  <c r="Y35" i="7"/>
  <c r="N35" i="7" s="1"/>
  <c r="AG35" i="7"/>
  <c r="AB34" i="7"/>
  <c r="AV34" i="7"/>
  <c r="AT34" i="7"/>
  <c r="AM34" i="7"/>
  <c r="AH34" i="7"/>
  <c r="AR34" i="7"/>
  <c r="AD34" i="7"/>
  <c r="AI34" i="7"/>
  <c r="AL34" i="7"/>
  <c r="AN34" i="7"/>
  <c r="AO34" i="7"/>
  <c r="AQ34" i="7"/>
  <c r="AS34" i="7"/>
  <c r="AE34" i="7"/>
  <c r="X34" i="7"/>
  <c r="Y34" i="7"/>
  <c r="Z34" i="7"/>
  <c r="AB33" i="7"/>
  <c r="AT33" i="7"/>
  <c r="AC33" i="7"/>
  <c r="AV33" i="7"/>
  <c r="AL33" i="7"/>
  <c r="AH33" i="7"/>
  <c r="AM33" i="7"/>
  <c r="AK33" i="7"/>
  <c r="AD33" i="7"/>
  <c r="Z33" i="7"/>
  <c r="AQ33" i="7"/>
  <c r="AJ33" i="7"/>
  <c r="AI33" i="7"/>
  <c r="AO33" i="7"/>
  <c r="AG33" i="7"/>
  <c r="X33" i="7"/>
  <c r="Y33" i="7"/>
  <c r="AS33" i="7"/>
  <c r="AE33" i="7"/>
  <c r="BE32" i="7"/>
  <c r="BA32" i="7"/>
  <c r="BK32" i="7"/>
  <c r="BG32" i="7"/>
  <c r="BF32" i="7"/>
  <c r="BK31" i="7"/>
  <c r="BO31" i="7"/>
  <c r="AZ31" i="7"/>
  <c r="BA31" i="7"/>
  <c r="BA30" i="7"/>
  <c r="BK30" i="7"/>
  <c r="BM30" i="7"/>
  <c r="AZ30" i="7"/>
  <c r="BF29" i="7"/>
  <c r="AZ29" i="7"/>
  <c r="BK29" i="7"/>
  <c r="BA29" i="7"/>
  <c r="BA28" i="7"/>
  <c r="AW28" i="7" s="1"/>
  <c r="BN28" i="7"/>
  <c r="BK28" i="7"/>
  <c r="BJ28" i="7"/>
  <c r="BA27" i="7"/>
  <c r="BK27" i="7"/>
  <c r="BF27" i="7"/>
  <c r="BO27" i="7"/>
  <c r="BE27" i="7"/>
  <c r="BN26" i="7"/>
  <c r="BA26" i="7"/>
  <c r="AW26" i="7" s="1"/>
  <c r="BF26" i="7"/>
  <c r="BK26" i="7"/>
  <c r="BN25" i="7"/>
  <c r="AZ25" i="7"/>
  <c r="BA25" i="7"/>
  <c r="BK25" i="7"/>
  <c r="BK24" i="7"/>
  <c r="BF25" i="7"/>
  <c r="BF24" i="7"/>
  <c r="BA24" i="7"/>
  <c r="BN24" i="7"/>
  <c r="BE24" i="7"/>
  <c r="AZ23" i="7"/>
  <c r="N23" i="7" s="1"/>
  <c r="BH23" i="7"/>
  <c r="BE23" i="7"/>
  <c r="BA23" i="7"/>
  <c r="BK23" i="7"/>
  <c r="BF23" i="7"/>
  <c r="BK22" i="7"/>
  <c r="BF22" i="7"/>
  <c r="BA22" i="7"/>
  <c r="AZ22" i="7"/>
  <c r="BH22" i="7"/>
  <c r="BA21" i="7"/>
  <c r="AZ21" i="7"/>
  <c r="BH21" i="7"/>
  <c r="BK21" i="7"/>
  <c r="BC21" i="7"/>
  <c r="AB32" i="7"/>
  <c r="AC32" i="7"/>
  <c r="AT32" i="7"/>
  <c r="AH32" i="7"/>
  <c r="AV32" i="7"/>
  <c r="AD32" i="7"/>
  <c r="AM32" i="7"/>
  <c r="AI32" i="7"/>
  <c r="AL32" i="7"/>
  <c r="AS32" i="7"/>
  <c r="AE32" i="7"/>
  <c r="AF32" i="7"/>
  <c r="X32" i="7"/>
  <c r="AD31" i="7"/>
  <c r="AT31" i="7"/>
  <c r="Y31" i="7"/>
  <c r="AB31" i="7"/>
  <c r="AH31" i="7"/>
  <c r="AV31" i="7"/>
  <c r="AI31" i="7"/>
  <c r="AL31" i="7"/>
  <c r="AM31" i="7"/>
  <c r="AS31" i="7"/>
  <c r="AE31" i="7"/>
  <c r="X31" i="7"/>
  <c r="AC31" i="7"/>
  <c r="AT30" i="7"/>
  <c r="AV30" i="7"/>
  <c r="AH30" i="7"/>
  <c r="AQ30" i="7"/>
  <c r="Y30" i="7"/>
  <c r="AI30" i="7"/>
  <c r="AL30" i="7"/>
  <c r="AB30" i="7"/>
  <c r="AM30" i="7"/>
  <c r="AS30" i="7"/>
  <c r="AE30" i="7"/>
  <c r="X30" i="7"/>
  <c r="AC30" i="7"/>
  <c r="AT29" i="7"/>
  <c r="AI29" i="7"/>
  <c r="AH29" i="7"/>
  <c r="AV29" i="7"/>
  <c r="AK29" i="7"/>
  <c r="AN29" i="7"/>
  <c r="AB29" i="7"/>
  <c r="Y29" i="7"/>
  <c r="AL29" i="7"/>
  <c r="AS29" i="7"/>
  <c r="AE29" i="7"/>
  <c r="AM29" i="7"/>
  <c r="X29" i="7"/>
  <c r="AG29" i="7"/>
  <c r="AB28" i="7"/>
  <c r="AT28" i="7"/>
  <c r="AM28" i="7"/>
  <c r="AH28" i="7"/>
  <c r="AL28" i="7"/>
  <c r="AV28" i="7"/>
  <c r="AD28" i="7"/>
  <c r="AI28" i="7"/>
  <c r="Y28" i="7"/>
  <c r="N28" i="7" s="1"/>
  <c r="AS28" i="7"/>
  <c r="AE28" i="7"/>
  <c r="X28" i="7"/>
  <c r="AB27" i="7"/>
  <c r="AT27" i="7"/>
  <c r="AI27" i="7"/>
  <c r="AH27" i="7"/>
  <c r="AV27" i="7"/>
  <c r="AK27" i="7"/>
  <c r="AL27" i="7"/>
  <c r="AJ27" i="7"/>
  <c r="AS27" i="7"/>
  <c r="AE27" i="7"/>
  <c r="X27" i="7"/>
  <c r="AV26" i="7"/>
  <c r="AC26" i="7"/>
  <c r="AT26" i="7"/>
  <c r="AB26" i="7"/>
  <c r="AI26" i="7"/>
  <c r="AH26" i="7"/>
  <c r="AM26" i="7"/>
  <c r="AL26" i="7"/>
  <c r="AN26" i="7"/>
  <c r="AO26" i="7"/>
  <c r="AK26" i="7"/>
  <c r="AS26" i="7"/>
  <c r="AE26" i="7"/>
  <c r="X26" i="7"/>
  <c r="S53" i="7"/>
  <c r="AB25" i="7"/>
  <c r="AT25" i="7"/>
  <c r="AI25" i="7"/>
  <c r="AV25" i="7"/>
  <c r="AH25" i="7"/>
  <c r="AP25" i="7"/>
  <c r="AA25" i="7"/>
  <c r="O25" i="7" s="1"/>
  <c r="AN25" i="7"/>
  <c r="AL25" i="7"/>
  <c r="Y25" i="7"/>
  <c r="AE25" i="7"/>
  <c r="AS25" i="7"/>
  <c r="X25" i="7"/>
  <c r="AV24" i="7"/>
  <c r="AN24" i="7"/>
  <c r="AI24" i="7"/>
  <c r="AB24" i="7"/>
  <c r="AT24" i="7"/>
  <c r="AE24" i="7"/>
  <c r="AH24" i="7"/>
  <c r="AG24" i="7"/>
  <c r="AM24" i="7"/>
  <c r="AR24" i="7"/>
  <c r="Y24" i="7"/>
  <c r="AD24" i="7"/>
  <c r="AL24" i="7"/>
  <c r="AS24" i="7"/>
  <c r="X24" i="7"/>
  <c r="AH23" i="7"/>
  <c r="AT23" i="7"/>
  <c r="AB23" i="7"/>
  <c r="AM23" i="7"/>
  <c r="AV23" i="7"/>
  <c r="AI23" i="7"/>
  <c r="AR23" i="7"/>
  <c r="AD23" i="7"/>
  <c r="AN23" i="7"/>
  <c r="AQ23" i="7"/>
  <c r="AE23" i="7"/>
  <c r="AS23" i="7"/>
  <c r="X23" i="7"/>
  <c r="AG23" i="7"/>
  <c r="AB22" i="7"/>
  <c r="AT22" i="7"/>
  <c r="AN22" i="7"/>
  <c r="AV22" i="7"/>
  <c r="AL22" i="7"/>
  <c r="AH22" i="7"/>
  <c r="AJ22" i="7"/>
  <c r="AI22" i="7"/>
  <c r="AD22" i="7"/>
  <c r="AM22" i="7"/>
  <c r="AE22" i="7"/>
  <c r="Y22" i="7"/>
  <c r="AS22" i="7"/>
  <c r="X22" i="7"/>
  <c r="AB21" i="7"/>
  <c r="AT21" i="7"/>
  <c r="AM21" i="7"/>
  <c r="AI21" i="7"/>
  <c r="AH21" i="7"/>
  <c r="AQ21" i="7"/>
  <c r="Y21" i="7"/>
  <c r="AV21" i="7"/>
  <c r="AD21" i="7"/>
  <c r="AL21" i="7"/>
  <c r="Z21" i="7"/>
  <c r="AS21" i="7"/>
  <c r="X21" i="7"/>
  <c r="AE21" i="7"/>
  <c r="BN20" i="7"/>
  <c r="BE20" i="7"/>
  <c r="BA20" i="7"/>
  <c r="BE17" i="7"/>
  <c r="BA16" i="7"/>
  <c r="AW16" i="7" s="1"/>
  <c r="BA15" i="7"/>
  <c r="BN14" i="7"/>
  <c r="BA14" i="7"/>
  <c r="BE14" i="7"/>
  <c r="AY48" i="7"/>
  <c r="BA13" i="7"/>
  <c r="BB13" i="7"/>
  <c r="O13" i="7" s="1"/>
  <c r="BO13" i="7"/>
  <c r="BC13" i="7"/>
  <c r="BO20" i="7"/>
  <c r="BK20" i="7"/>
  <c r="BF20" i="7"/>
  <c r="AZ19" i="7"/>
  <c r="AW19" i="7" s="1"/>
  <c r="BK19" i="7"/>
  <c r="AX19" i="7" s="1"/>
  <c r="BK18" i="7"/>
  <c r="BF18" i="7"/>
  <c r="K18" i="7" s="1"/>
  <c r="BK17" i="7"/>
  <c r="BF17" i="7"/>
  <c r="N17" i="7"/>
  <c r="BA17" i="7"/>
  <c r="K17" i="7" s="1"/>
  <c r="BK16" i="7"/>
  <c r="BF16" i="7"/>
  <c r="BI16" i="7"/>
  <c r="BK15" i="7"/>
  <c r="BI15" i="7"/>
  <c r="BF14" i="7"/>
  <c r="BK14" i="7"/>
  <c r="BI14" i="7"/>
  <c r="BA12" i="7"/>
  <c r="BK13" i="7"/>
  <c r="BJ13" i="7"/>
  <c r="BI13" i="7"/>
  <c r="BF13" i="7"/>
  <c r="BK12" i="7"/>
  <c r="BO12" i="7"/>
  <c r="BI12" i="7"/>
  <c r="BF12" i="7"/>
  <c r="AZ12" i="7"/>
  <c r="N12" i="7" s="1"/>
  <c r="BA11" i="7"/>
  <c r="AW11" i="7" s="1"/>
  <c r="BK11" i="7"/>
  <c r="BF11" i="7"/>
  <c r="BO11" i="7"/>
  <c r="BF10" i="7"/>
  <c r="AX10" i="7" s="1"/>
  <c r="BA10" i="7"/>
  <c r="AW10" i="7" s="1"/>
  <c r="AZ7" i="7"/>
  <c r="AW7" i="7" s="1"/>
  <c r="AB11" i="7"/>
  <c r="AC20" i="7"/>
  <c r="AC14" i="7"/>
  <c r="AB13" i="7"/>
  <c r="AV10" i="7"/>
  <c r="AA10" i="7"/>
  <c r="O10" i="7" s="1"/>
  <c r="AT20" i="7"/>
  <c r="AT19" i="7"/>
  <c r="AT18" i="7"/>
  <c r="AT17" i="7"/>
  <c r="AT16" i="7"/>
  <c r="AT15" i="7"/>
  <c r="AT14" i="7"/>
  <c r="AT13" i="7"/>
  <c r="AT12" i="7"/>
  <c r="AB20" i="7"/>
  <c r="AB19" i="7"/>
  <c r="AB18" i="7"/>
  <c r="T18" i="7" s="1"/>
  <c r="AB17" i="7"/>
  <c r="AT11" i="7"/>
  <c r="AH20" i="7"/>
  <c r="AG20" i="7"/>
  <c r="AE20" i="7"/>
  <c r="AV20" i="7"/>
  <c r="AI20" i="7"/>
  <c r="AM20" i="7"/>
  <c r="AL20" i="7"/>
  <c r="AD20" i="7"/>
  <c r="AV19" i="7"/>
  <c r="AH19" i="7"/>
  <c r="AI19" i="7"/>
  <c r="AD19" i="7"/>
  <c r="K19" i="7" s="1"/>
  <c r="AE19" i="7"/>
  <c r="AG19" i="7"/>
  <c r="AI18" i="7"/>
  <c r="AH18" i="7"/>
  <c r="AV18" i="7"/>
  <c r="W18" i="7"/>
  <c r="Y16" i="7"/>
  <c r="N16" i="7" s="1"/>
  <c r="W16" i="7"/>
  <c r="AR18" i="7"/>
  <c r="AH17" i="7"/>
  <c r="AI17" i="7"/>
  <c r="AM17" i="7"/>
  <c r="AV17" i="7"/>
  <c r="AR17" i="7"/>
  <c r="AH16" i="7"/>
  <c r="AI16" i="7"/>
  <c r="AM16" i="7"/>
  <c r="AV16" i="7"/>
  <c r="AL16" i="7"/>
  <c r="AE16" i="7"/>
  <c r="AB16" i="7"/>
  <c r="AG16" i="7"/>
  <c r="AD16" i="7"/>
  <c r="AI15" i="7"/>
  <c r="AH15" i="7"/>
  <c r="AV15" i="7"/>
  <c r="AO15" i="7"/>
  <c r="AM15" i="7"/>
  <c r="AB15" i="7"/>
  <c r="AR15" i="7"/>
  <c r="AI14" i="7"/>
  <c r="AH14" i="7"/>
  <c r="AV14" i="7"/>
  <c r="AD14" i="7"/>
  <c r="AR14" i="7"/>
  <c r="AB14" i="7"/>
  <c r="AL14" i="7"/>
  <c r="AK13" i="7"/>
  <c r="AI13" i="7"/>
  <c r="AV13" i="7"/>
  <c r="AM13" i="7"/>
  <c r="AJ13" i="7"/>
  <c r="AR13" i="7"/>
  <c r="AH13" i="7"/>
  <c r="AH12" i="7"/>
  <c r="AI12" i="7"/>
  <c r="AR12" i="7"/>
  <c r="AV12" i="7"/>
  <c r="AE12" i="7"/>
  <c r="AL12" i="7"/>
  <c r="AF12" i="7"/>
  <c r="AK12" i="7"/>
  <c r="AM12" i="7"/>
  <c r="AV11" i="7"/>
  <c r="AI11" i="7"/>
  <c r="AH11" i="7"/>
  <c r="AC11" i="7"/>
  <c r="AD11" i="7"/>
  <c r="AR11" i="7"/>
  <c r="AE11" i="7"/>
  <c r="AP10" i="7"/>
  <c r="X10" i="7"/>
  <c r="AR10" i="7"/>
  <c r="AQ10" i="7"/>
  <c r="AE10" i="7"/>
  <c r="AM10" i="7"/>
  <c r="AI10" i="7"/>
  <c r="AF10" i="7"/>
  <c r="W10" i="7"/>
  <c r="AL10" i="7"/>
  <c r="AH10" i="7"/>
  <c r="AG10" i="7"/>
  <c r="AO10" i="7"/>
  <c r="AV9" i="7"/>
  <c r="AF9" i="7"/>
  <c r="AR9" i="7"/>
  <c r="AI9" i="7"/>
  <c r="AB9" i="7"/>
  <c r="AE9" i="7"/>
  <c r="AC16" i="7"/>
  <c r="X14" i="7"/>
  <c r="X13" i="7"/>
  <c r="AD13" i="7"/>
  <c r="X12" i="7"/>
  <c r="X11" i="7"/>
  <c r="AD10" i="7"/>
  <c r="X9" i="7"/>
  <c r="AM9" i="7"/>
  <c r="AQ9" i="7"/>
  <c r="AH8" i="7"/>
  <c r="AH7" i="7"/>
  <c r="AW18" i="7"/>
  <c r="AX9" i="7"/>
  <c r="AW9" i="7"/>
  <c r="AZ8" i="7"/>
  <c r="N8" i="7" s="1"/>
  <c r="BA8" i="7"/>
  <c r="AW6" i="7"/>
  <c r="AW5" i="7"/>
  <c r="AW4" i="7"/>
  <c r="AW3" i="7"/>
  <c r="AW2" i="7"/>
  <c r="AX8" i="7"/>
  <c r="AX7" i="7"/>
  <c r="AX6" i="7"/>
  <c r="AX5" i="7"/>
  <c r="AX4" i="7"/>
  <c r="AX3" i="7"/>
  <c r="AX2" i="7"/>
  <c r="AD8" i="7"/>
  <c r="AV8" i="7"/>
  <c r="AV7" i="7"/>
  <c r="AL8" i="7"/>
  <c r="AG8" i="7"/>
  <c r="X8" i="7"/>
  <c r="AR8" i="7"/>
  <c r="AE8" i="7"/>
  <c r="AF8" i="7"/>
  <c r="AI8" i="7"/>
  <c r="AN8" i="7"/>
  <c r="AO8" i="7"/>
  <c r="P6" i="7"/>
  <c r="P5" i="7"/>
  <c r="P4" i="7"/>
  <c r="P2" i="7"/>
  <c r="AD7" i="7"/>
  <c r="X7" i="7"/>
  <c r="AO7" i="7"/>
  <c r="AI7" i="7"/>
  <c r="AG7" i="7"/>
  <c r="AF7" i="7"/>
  <c r="AE7" i="7"/>
  <c r="AR7" i="7"/>
  <c r="Q2" i="7"/>
  <c r="AL7" i="7"/>
  <c r="AF6" i="7"/>
  <c r="AU3" i="7"/>
  <c r="AR6" i="7"/>
  <c r="AV6" i="7"/>
  <c r="AU6" i="7"/>
  <c r="AI6" i="7"/>
  <c r="AG6" i="7"/>
  <c r="AE5" i="7"/>
  <c r="AR5" i="7"/>
  <c r="AR4" i="7"/>
  <c r="AU5" i="7"/>
  <c r="AU4" i="7"/>
  <c r="AV3" i="7"/>
  <c r="AE3" i="7"/>
  <c r="AF3" i="7"/>
  <c r="L3" i="7" s="1"/>
  <c r="W3" i="7"/>
  <c r="P8" i="8" l="1"/>
  <c r="O11" i="8"/>
  <c r="P26" i="8"/>
  <c r="P29" i="8"/>
  <c r="O6" i="8"/>
  <c r="P24" i="8"/>
  <c r="P9" i="8"/>
  <c r="M14" i="8"/>
  <c r="O29" i="8"/>
  <c r="P32" i="8"/>
  <c r="O8" i="8"/>
  <c r="O14" i="8"/>
  <c r="O23" i="8"/>
  <c r="L7" i="8"/>
  <c r="L11" i="8"/>
  <c r="O26" i="8"/>
  <c r="O40" i="8"/>
  <c r="P38" i="8"/>
  <c r="O7" i="8"/>
  <c r="P34" i="8"/>
  <c r="P35" i="8"/>
  <c r="P15" i="8"/>
  <c r="P19" i="8"/>
  <c r="O16" i="8"/>
  <c r="O35" i="8"/>
  <c r="M36" i="8"/>
  <c r="P6" i="8"/>
  <c r="O30" i="8"/>
  <c r="M33" i="8"/>
  <c r="O39" i="8"/>
  <c r="AZ41" i="8"/>
  <c r="M41" i="8"/>
  <c r="P22" i="8"/>
  <c r="O10" i="8"/>
  <c r="O12" i="8"/>
  <c r="P20" i="8"/>
  <c r="O22" i="8"/>
  <c r="L31" i="8"/>
  <c r="O36" i="8"/>
  <c r="P25" i="8"/>
  <c r="P10" i="8"/>
  <c r="O15" i="8"/>
  <c r="O25" i="8"/>
  <c r="O32" i="8"/>
  <c r="O33" i="8"/>
  <c r="P36" i="8"/>
  <c r="L38" i="8"/>
  <c r="O18" i="8"/>
  <c r="O19" i="8"/>
  <c r="O21" i="8"/>
  <c r="P31" i="8"/>
  <c r="M34" i="8"/>
  <c r="L37" i="8"/>
  <c r="P37" i="8"/>
  <c r="O24" i="8"/>
  <c r="P11" i="8"/>
  <c r="P16" i="8"/>
  <c r="O20" i="8"/>
  <c r="L27" i="8"/>
  <c r="P27" i="8"/>
  <c r="O28" i="8"/>
  <c r="L30" i="8"/>
  <c r="P33" i="8"/>
  <c r="M38" i="8"/>
  <c r="O41" i="8"/>
  <c r="P7" i="8"/>
  <c r="O9" i="8"/>
  <c r="L14" i="8"/>
  <c r="O37" i="8"/>
  <c r="P13" i="8"/>
  <c r="O27" i="8"/>
  <c r="O31" i="8"/>
  <c r="O34" i="8"/>
  <c r="O38" i="8"/>
  <c r="AZ38" i="8"/>
  <c r="L34" i="8"/>
  <c r="L35" i="8"/>
  <c r="L39" i="8"/>
  <c r="L13" i="8"/>
  <c r="L16" i="8"/>
  <c r="L12" i="8"/>
  <c r="R28" i="8"/>
  <c r="L28" i="8"/>
  <c r="L20" i="8"/>
  <c r="L41" i="8"/>
  <c r="L40" i="8"/>
  <c r="BA24" i="8"/>
  <c r="R30" i="8"/>
  <c r="L23" i="8"/>
  <c r="L24" i="8"/>
  <c r="L26" i="8"/>
  <c r="L29" i="8"/>
  <c r="L33" i="8"/>
  <c r="L36" i="8"/>
  <c r="L17" i="8"/>
  <c r="L22" i="8"/>
  <c r="L8" i="8"/>
  <c r="L10" i="8"/>
  <c r="L21" i="8"/>
  <c r="L25" i="8"/>
  <c r="L32" i="8"/>
  <c r="X41" i="8"/>
  <c r="AZ16" i="8"/>
  <c r="X13" i="8"/>
  <c r="X23" i="8"/>
  <c r="X24" i="8"/>
  <c r="X26" i="8"/>
  <c r="X29" i="8"/>
  <c r="AZ15" i="8"/>
  <c r="X8" i="8"/>
  <c r="X10" i="8"/>
  <c r="X36" i="8"/>
  <c r="X22" i="8"/>
  <c r="X37" i="8"/>
  <c r="V2" i="8"/>
  <c r="BA41" i="8"/>
  <c r="X16" i="8"/>
  <c r="T41" i="8"/>
  <c r="BA37" i="8"/>
  <c r="AZ12" i="8"/>
  <c r="BA31" i="8"/>
  <c r="X33" i="8"/>
  <c r="K39" i="8"/>
  <c r="X12" i="8"/>
  <c r="X21" i="8"/>
  <c r="R22" i="8"/>
  <c r="X25" i="8"/>
  <c r="BA18" i="8"/>
  <c r="R21" i="8"/>
  <c r="R25" i="8"/>
  <c r="BA30" i="8"/>
  <c r="X20" i="8"/>
  <c r="X34" i="8"/>
  <c r="X32" i="8"/>
  <c r="AZ34" i="8"/>
  <c r="AZ35" i="8"/>
  <c r="X9" i="8"/>
  <c r="X28" i="8"/>
  <c r="T19" i="8"/>
  <c r="G19" i="8" s="1"/>
  <c r="X19" i="8"/>
  <c r="X31" i="8"/>
  <c r="T7" i="8"/>
  <c r="G7" i="8" s="1"/>
  <c r="X7" i="8"/>
  <c r="X38" i="8"/>
  <c r="X35" i="8"/>
  <c r="X39" i="8"/>
  <c r="U41" i="8"/>
  <c r="X11" i="8"/>
  <c r="X14" i="8"/>
  <c r="T27" i="8"/>
  <c r="X27" i="8"/>
  <c r="X30" i="8"/>
  <c r="X40" i="8"/>
  <c r="K41" i="8"/>
  <c r="R41" i="8"/>
  <c r="N31" i="7"/>
  <c r="K20" i="7"/>
  <c r="P8" i="7"/>
  <c r="K8" i="7"/>
  <c r="T8" i="7"/>
  <c r="K12" i="7"/>
  <c r="T12" i="7"/>
  <c r="T20" i="7"/>
  <c r="K30" i="7"/>
  <c r="T30" i="7"/>
  <c r="T14" i="7"/>
  <c r="K14" i="7"/>
  <c r="T16" i="7"/>
  <c r="N22" i="7"/>
  <c r="K28" i="7"/>
  <c r="T28" i="7"/>
  <c r="T31" i="7"/>
  <c r="K31" i="7"/>
  <c r="K38" i="7"/>
  <c r="M38" i="7" s="1"/>
  <c r="T38" i="7"/>
  <c r="T10" i="7"/>
  <c r="K10" i="7"/>
  <c r="K25" i="7"/>
  <c r="T25" i="7"/>
  <c r="T35" i="7"/>
  <c r="K35" i="7"/>
  <c r="T40" i="7"/>
  <c r="K40" i="7"/>
  <c r="K22" i="7"/>
  <c r="T22" i="7"/>
  <c r="K27" i="7"/>
  <c r="T27" i="7"/>
  <c r="T37" i="7"/>
  <c r="K37" i="7"/>
  <c r="K34" i="7"/>
  <c r="T34" i="7"/>
  <c r="AW15" i="7"/>
  <c r="K15" i="7"/>
  <c r="M15" i="7" s="1"/>
  <c r="K16" i="7"/>
  <c r="K32" i="7"/>
  <c r="T32" i="7"/>
  <c r="T29" i="7"/>
  <c r="K29" i="7"/>
  <c r="K9" i="7"/>
  <c r="T9" i="7"/>
  <c r="P17" i="7"/>
  <c r="T17" i="7"/>
  <c r="T33" i="7"/>
  <c r="K33" i="7"/>
  <c r="T13" i="7"/>
  <c r="K13" i="7"/>
  <c r="P15" i="7"/>
  <c r="T15" i="7"/>
  <c r="K23" i="7"/>
  <c r="T23" i="7"/>
  <c r="P7" i="7"/>
  <c r="K7" i="7"/>
  <c r="T7" i="7"/>
  <c r="T21" i="7"/>
  <c r="K21" i="7"/>
  <c r="K26" i="7"/>
  <c r="T26" i="7"/>
  <c r="K36" i="7"/>
  <c r="T36" i="7"/>
  <c r="K39" i="7"/>
  <c r="T39" i="7"/>
  <c r="T11" i="7"/>
  <c r="K11" i="7"/>
  <c r="P19" i="7"/>
  <c r="G19" i="7" s="1"/>
  <c r="T19" i="7"/>
  <c r="K24" i="7"/>
  <c r="T24" i="7"/>
  <c r="N41" i="8"/>
  <c r="Y41" i="8"/>
  <c r="N40" i="7"/>
  <c r="K28" i="8"/>
  <c r="AZ22" i="8"/>
  <c r="AZ25" i="8"/>
  <c r="AZ39" i="8"/>
  <c r="R35" i="8"/>
  <c r="K37" i="8"/>
  <c r="K40" i="8"/>
  <c r="N16" i="8"/>
  <c r="AZ20" i="8"/>
  <c r="T29" i="8"/>
  <c r="BA40" i="8"/>
  <c r="G3" i="8"/>
  <c r="N4" i="8"/>
  <c r="Q4" i="8" s="1"/>
  <c r="T22" i="8"/>
  <c r="R24" i="8"/>
  <c r="R29" i="8"/>
  <c r="R39" i="8"/>
  <c r="AW34" i="7"/>
  <c r="M3" i="7"/>
  <c r="N29" i="7"/>
  <c r="L39" i="7"/>
  <c r="N21" i="7"/>
  <c r="N33" i="7"/>
  <c r="N39" i="7"/>
  <c r="N7" i="7"/>
  <c r="L15" i="7"/>
  <c r="L29" i="7"/>
  <c r="L30" i="7"/>
  <c r="N30" i="7"/>
  <c r="N25" i="7"/>
  <c r="N24" i="7"/>
  <c r="N34" i="7"/>
  <c r="BA36" i="8"/>
  <c r="Q2" i="8"/>
  <c r="R33" i="8"/>
  <c r="K38" i="8"/>
  <c r="AZ40" i="8"/>
  <c r="R40" i="8"/>
  <c r="U33" i="8"/>
  <c r="K16" i="8"/>
  <c r="N18" i="8"/>
  <c r="BA29" i="8"/>
  <c r="R31" i="8"/>
  <c r="R34" i="8"/>
  <c r="K13" i="8"/>
  <c r="BA22" i="8"/>
  <c r="BA23" i="8"/>
  <c r="L33" i="7"/>
  <c r="L7" i="7"/>
  <c r="L14" i="7"/>
  <c r="L18" i="7"/>
  <c r="L26" i="7"/>
  <c r="L32" i="7"/>
  <c r="Y48" i="7"/>
  <c r="L38" i="7"/>
  <c r="L28" i="7"/>
  <c r="L35" i="7"/>
  <c r="L12" i="7"/>
  <c r="L31" i="7"/>
  <c r="L36" i="7"/>
  <c r="L16" i="7"/>
  <c r="L24" i="7"/>
  <c r="L34" i="7"/>
  <c r="L6" i="7"/>
  <c r="M6" i="7" s="1"/>
  <c r="L4" i="7"/>
  <c r="M4" i="7" s="1"/>
  <c r="L21" i="7"/>
  <c r="L40" i="7"/>
  <c r="L23" i="7"/>
  <c r="M23" i="7" s="1"/>
  <c r="N19" i="7"/>
  <c r="L27" i="7"/>
  <c r="L9" i="7"/>
  <c r="M2" i="7"/>
  <c r="L13" i="7"/>
  <c r="L8" i="7"/>
  <c r="L17" i="7"/>
  <c r="L37" i="7"/>
  <c r="L11" i="7"/>
  <c r="L19" i="7"/>
  <c r="L22" i="7"/>
  <c r="L25" i="7"/>
  <c r="AW39" i="7"/>
  <c r="L5" i="7"/>
  <c r="M5" i="7" s="1"/>
  <c r="L10" i="7"/>
  <c r="L20" i="7"/>
  <c r="G5" i="8"/>
  <c r="T11" i="8"/>
  <c r="K19" i="8"/>
  <c r="AZ36" i="8"/>
  <c r="R12" i="8"/>
  <c r="BA14" i="8"/>
  <c r="U24" i="8"/>
  <c r="U29" i="8"/>
  <c r="AZ33" i="8"/>
  <c r="U36" i="8"/>
  <c r="T37" i="8"/>
  <c r="BA39" i="8"/>
  <c r="Y40" i="8"/>
  <c r="G6" i="8"/>
  <c r="K12" i="8"/>
  <c r="U16" i="8"/>
  <c r="BA16" i="8"/>
  <c r="AZ30" i="8"/>
  <c r="U35" i="8"/>
  <c r="R19" i="8"/>
  <c r="K36" i="8"/>
  <c r="U12" i="8"/>
  <c r="AZ21" i="8"/>
  <c r="R7" i="8"/>
  <c r="Z2" i="8"/>
  <c r="K7" i="8"/>
  <c r="K15" i="8"/>
  <c r="BA15" i="8"/>
  <c r="BA21" i="8"/>
  <c r="BA25" i="8"/>
  <c r="AZ29" i="8"/>
  <c r="R36" i="8"/>
  <c r="R16" i="8"/>
  <c r="U7" i="8"/>
  <c r="H7" i="8" s="1"/>
  <c r="T23" i="8"/>
  <c r="K27" i="8"/>
  <c r="AZ27" i="8"/>
  <c r="BA28" i="8"/>
  <c r="H2" i="8"/>
  <c r="K14" i="8"/>
  <c r="AZ14" i="8"/>
  <c r="K21" i="8"/>
  <c r="T26" i="8"/>
  <c r="G26" i="8" s="1"/>
  <c r="BA32" i="8"/>
  <c r="N40" i="8"/>
  <c r="N6" i="8"/>
  <c r="Q6" i="8" s="1"/>
  <c r="T10" i="8"/>
  <c r="G10" i="8" s="1"/>
  <c r="Y12" i="8"/>
  <c r="T17" i="8"/>
  <c r="T24" i="8"/>
  <c r="T34" i="8"/>
  <c r="BA38" i="8"/>
  <c r="G4" i="8"/>
  <c r="K9" i="8"/>
  <c r="Y10" i="8"/>
  <c r="N31" i="8"/>
  <c r="Y36" i="8"/>
  <c r="U39" i="8"/>
  <c r="U19" i="8"/>
  <c r="Y25" i="8"/>
  <c r="Y26" i="8"/>
  <c r="T9" i="8"/>
  <c r="BA11" i="8"/>
  <c r="BA12" i="8"/>
  <c r="BA13" i="8"/>
  <c r="Y15" i="8"/>
  <c r="Z15" i="8" s="1"/>
  <c r="T16" i="8"/>
  <c r="BA17" i="8"/>
  <c r="N25" i="8"/>
  <c r="AZ37" i="8"/>
  <c r="U38" i="8"/>
  <c r="T33" i="8"/>
  <c r="BA34" i="8"/>
  <c r="Y6" i="8"/>
  <c r="Z6" i="8" s="1"/>
  <c r="Y24" i="8"/>
  <c r="W2" i="8"/>
  <c r="N3" i="8"/>
  <c r="Q3" i="8" s="1"/>
  <c r="K10" i="8"/>
  <c r="T15" i="8"/>
  <c r="AZ23" i="8"/>
  <c r="T25" i="8"/>
  <c r="Y27" i="8"/>
  <c r="K34" i="8"/>
  <c r="K35" i="8"/>
  <c r="N36" i="8"/>
  <c r="T39" i="8"/>
  <c r="Y39" i="8"/>
  <c r="U9" i="8"/>
  <c r="H9" i="8" s="1"/>
  <c r="T12" i="8"/>
  <c r="N28" i="8"/>
  <c r="K32" i="8"/>
  <c r="N34" i="8"/>
  <c r="Y17" i="8"/>
  <c r="Z17" i="8" s="1"/>
  <c r="K29" i="8"/>
  <c r="T31" i="8"/>
  <c r="BA33" i="8"/>
  <c r="N39" i="8"/>
  <c r="AW22" i="7"/>
  <c r="G2" i="8"/>
  <c r="BB2" i="8"/>
  <c r="BB3" i="8" s="1"/>
  <c r="BB4" i="8" s="1"/>
  <c r="BB5" i="8" s="1"/>
  <c r="BB6" i="8" s="1"/>
  <c r="BB7" i="8" s="1"/>
  <c r="U6" i="8"/>
  <c r="H6" i="8" s="1"/>
  <c r="AZ8" i="8"/>
  <c r="AZ13" i="8"/>
  <c r="Y18" i="8"/>
  <c r="T20" i="8"/>
  <c r="K25" i="8"/>
  <c r="BA26" i="8"/>
  <c r="Y32" i="8"/>
  <c r="AZ32" i="8"/>
  <c r="T35" i="8"/>
  <c r="BA35" i="8"/>
  <c r="U20" i="8"/>
  <c r="Y20" i="8"/>
  <c r="N20" i="8"/>
  <c r="N5" i="8"/>
  <c r="Q5" i="8" s="1"/>
  <c r="Y5" i="8"/>
  <c r="Z5" i="8" s="1"/>
  <c r="U5" i="8"/>
  <c r="Y7" i="8"/>
  <c r="N7" i="8"/>
  <c r="AZ11" i="8"/>
  <c r="K11" i="8"/>
  <c r="T8" i="8"/>
  <c r="K8" i="8"/>
  <c r="Y4" i="8"/>
  <c r="Z4" i="8" s="1"/>
  <c r="U4" i="8"/>
  <c r="H4" i="8" s="1"/>
  <c r="U8" i="8"/>
  <c r="H8" i="8" s="1"/>
  <c r="U22" i="8"/>
  <c r="N22" i="8"/>
  <c r="Y22" i="8"/>
  <c r="U26" i="8"/>
  <c r="T30" i="8"/>
  <c r="N12" i="8"/>
  <c r="Y28" i="8"/>
  <c r="T32" i="8"/>
  <c r="U34" i="8"/>
  <c r="U3" i="8"/>
  <c r="H3" i="8" s="1"/>
  <c r="Y3" i="8"/>
  <c r="Z3" i="8" s="1"/>
  <c r="Y8" i="8"/>
  <c r="N9" i="8"/>
  <c r="T13" i="8"/>
  <c r="T14" i="8"/>
  <c r="Y21" i="8"/>
  <c r="K22" i="8"/>
  <c r="K23" i="8"/>
  <c r="N24" i="8"/>
  <c r="AZ24" i="8"/>
  <c r="K26" i="8"/>
  <c r="K31" i="8"/>
  <c r="U31" i="8"/>
  <c r="Y31" i="8"/>
  <c r="N38" i="8"/>
  <c r="U21" i="8"/>
  <c r="N21" i="8"/>
  <c r="N32" i="8"/>
  <c r="K17" i="8"/>
  <c r="AZ17" i="8"/>
  <c r="U18" i="8"/>
  <c r="N19" i="8"/>
  <c r="K20" i="8"/>
  <c r="T21" i="8"/>
  <c r="U28" i="8"/>
  <c r="U10" i="8"/>
  <c r="H10" i="8" s="1"/>
  <c r="N10" i="8"/>
  <c r="N11" i="8"/>
  <c r="Y11" i="8"/>
  <c r="BA20" i="8"/>
  <c r="U27" i="8"/>
  <c r="K30" i="8"/>
  <c r="Y35" i="8"/>
  <c r="N35" i="8"/>
  <c r="T36" i="8"/>
  <c r="N30" i="8"/>
  <c r="U13" i="8"/>
  <c r="N13" i="8"/>
  <c r="Y13" i="8"/>
  <c r="U15" i="8"/>
  <c r="N15" i="8"/>
  <c r="N29" i="8"/>
  <c r="Y29" i="8"/>
  <c r="U30" i="8"/>
  <c r="U25" i="8"/>
  <c r="N8" i="8"/>
  <c r="T28" i="8"/>
  <c r="U14" i="8"/>
  <c r="N14" i="8"/>
  <c r="Y14" i="8"/>
  <c r="T18" i="8"/>
  <c r="Y19" i="8"/>
  <c r="BA27" i="8"/>
  <c r="U32" i="8"/>
  <c r="U17" i="8"/>
  <c r="N17" i="8"/>
  <c r="Y9" i="8"/>
  <c r="U11" i="8"/>
  <c r="Y16" i="8"/>
  <c r="K18" i="8"/>
  <c r="U23" i="8"/>
  <c r="N23" i="8"/>
  <c r="Y23" i="8"/>
  <c r="K24" i="8"/>
  <c r="N27" i="8"/>
  <c r="Y30" i="8"/>
  <c r="AZ31" i="8"/>
  <c r="K33" i="8"/>
  <c r="U37" i="8"/>
  <c r="N37" i="8"/>
  <c r="Y37" i="8"/>
  <c r="T38" i="8"/>
  <c r="Y33" i="8"/>
  <c r="T40" i="8"/>
  <c r="Y38" i="8"/>
  <c r="U40" i="8"/>
  <c r="N33" i="8"/>
  <c r="N26" i="8"/>
  <c r="Y34" i="8"/>
  <c r="R2" i="7"/>
  <c r="U13" i="7"/>
  <c r="U25" i="7"/>
  <c r="U23" i="7"/>
  <c r="U30" i="7"/>
  <c r="U15" i="7"/>
  <c r="AX31" i="7"/>
  <c r="U3" i="7"/>
  <c r="V3" i="7" s="1"/>
  <c r="AX28" i="7"/>
  <c r="U33" i="7"/>
  <c r="U37" i="7"/>
  <c r="U24" i="7"/>
  <c r="U32" i="7"/>
  <c r="U35" i="7"/>
  <c r="V35" i="7" s="1"/>
  <c r="U36" i="7"/>
  <c r="U38" i="7"/>
  <c r="V38" i="7" s="1"/>
  <c r="AW36" i="7"/>
  <c r="U14" i="7"/>
  <c r="U16" i="7"/>
  <c r="U26" i="7"/>
  <c r="AX21" i="7"/>
  <c r="AW38" i="7"/>
  <c r="U22" i="7"/>
  <c r="U18" i="7"/>
  <c r="V18" i="7" s="1"/>
  <c r="U7" i="7"/>
  <c r="U12" i="7"/>
  <c r="V12" i="7" s="1"/>
  <c r="U21" i="7"/>
  <c r="U11" i="7"/>
  <c r="U19" i="7"/>
  <c r="U27" i="7"/>
  <c r="AW35" i="7"/>
  <c r="U28" i="7"/>
  <c r="U31" i="7"/>
  <c r="U39" i="7"/>
  <c r="AW37" i="7"/>
  <c r="AX39" i="7"/>
  <c r="U40" i="7"/>
  <c r="U17" i="7"/>
  <c r="U6" i="7"/>
  <c r="V6" i="7" s="1"/>
  <c r="U8" i="7"/>
  <c r="U9" i="7"/>
  <c r="U4" i="7"/>
  <c r="V4" i="7" s="1"/>
  <c r="U5" i="7"/>
  <c r="V5" i="7" s="1"/>
  <c r="U10" i="7"/>
  <c r="V10" i="7" s="1"/>
  <c r="U20" i="7"/>
  <c r="U29" i="7"/>
  <c r="U34" i="7"/>
  <c r="P38" i="7"/>
  <c r="V2" i="7"/>
  <c r="AX34" i="7"/>
  <c r="AX33" i="7"/>
  <c r="AX38" i="7"/>
  <c r="P29" i="7"/>
  <c r="P26" i="7"/>
  <c r="AX29" i="7"/>
  <c r="AX36" i="7"/>
  <c r="AX37" i="7"/>
  <c r="AW40" i="7"/>
  <c r="AX40" i="7"/>
  <c r="AW21" i="7"/>
  <c r="AW25" i="7"/>
  <c r="AW32" i="7"/>
  <c r="AW31" i="7"/>
  <c r="P37" i="7"/>
  <c r="AX35" i="7"/>
  <c r="P35" i="7"/>
  <c r="AX26" i="7"/>
  <c r="AX13" i="7"/>
  <c r="P34" i="7"/>
  <c r="P18" i="7"/>
  <c r="AW23" i="7"/>
  <c r="P40" i="7"/>
  <c r="AW30" i="7"/>
  <c r="P33" i="7"/>
  <c r="P36" i="7"/>
  <c r="AW29" i="7"/>
  <c r="AX32" i="7"/>
  <c r="Q34" i="7"/>
  <c r="P27" i="7"/>
  <c r="Q33" i="7"/>
  <c r="Z48" i="7"/>
  <c r="AX15" i="7"/>
  <c r="AX22" i="7"/>
  <c r="P30" i="7"/>
  <c r="AX24" i="7"/>
  <c r="AW14" i="7"/>
  <c r="Q28" i="7"/>
  <c r="Q30" i="7"/>
  <c r="Q40" i="7"/>
  <c r="AX16" i="7"/>
  <c r="AW33" i="7"/>
  <c r="Q39" i="7"/>
  <c r="P39" i="7"/>
  <c r="Q38" i="7"/>
  <c r="Q37" i="7"/>
  <c r="Q36" i="7"/>
  <c r="Q35" i="7"/>
  <c r="P20" i="7"/>
  <c r="AX20" i="7"/>
  <c r="AW20" i="7"/>
  <c r="AW17" i="7"/>
  <c r="G17" i="7" s="1"/>
  <c r="AW24" i="7"/>
  <c r="AX25" i="7"/>
  <c r="P24" i="7"/>
  <c r="Q32" i="7"/>
  <c r="AX23" i="7"/>
  <c r="P23" i="7"/>
  <c r="AW13" i="7"/>
  <c r="AW27" i="7"/>
  <c r="AX12" i="7"/>
  <c r="Q29" i="7"/>
  <c r="P31" i="7"/>
  <c r="P32" i="7"/>
  <c r="AX27" i="7"/>
  <c r="AX30" i="7"/>
  <c r="Q25" i="7"/>
  <c r="Q23" i="7"/>
  <c r="P25" i="7"/>
  <c r="P28" i="7"/>
  <c r="Q26" i="7"/>
  <c r="Q27" i="7"/>
  <c r="AX11" i="7"/>
  <c r="AX18" i="7"/>
  <c r="Q31" i="7"/>
  <c r="Q24" i="7"/>
  <c r="H24" i="7" s="1"/>
  <c r="Q22" i="7"/>
  <c r="P22" i="7"/>
  <c r="P21" i="7"/>
  <c r="Q21" i="7"/>
  <c r="AW12" i="7"/>
  <c r="AX14" i="7"/>
  <c r="G6" i="7"/>
  <c r="Q16" i="7"/>
  <c r="P9" i="7"/>
  <c r="AX17" i="7"/>
  <c r="Q17" i="7"/>
  <c r="Q20" i="7"/>
  <c r="Q19" i="7"/>
  <c r="H19" i="7" s="1"/>
  <c r="Q18" i="7"/>
  <c r="Q15" i="7"/>
  <c r="Q14" i="7"/>
  <c r="Q12" i="7"/>
  <c r="P16" i="7"/>
  <c r="P11" i="7"/>
  <c r="H2" i="7"/>
  <c r="Q10" i="7"/>
  <c r="H10" i="7" s="1"/>
  <c r="P10" i="7"/>
  <c r="Q13" i="7"/>
  <c r="P14" i="7"/>
  <c r="P13" i="7"/>
  <c r="P12" i="7"/>
  <c r="Q11" i="7"/>
  <c r="G2" i="7"/>
  <c r="Q9" i="7"/>
  <c r="H9" i="7" s="1"/>
  <c r="G5" i="7"/>
  <c r="G7" i="7"/>
  <c r="AW8" i="7"/>
  <c r="AY2" i="7"/>
  <c r="AY3" i="7" s="1"/>
  <c r="AY4" i="7" s="1"/>
  <c r="AY5" i="7" s="1"/>
  <c r="AY6" i="7" s="1"/>
  <c r="AY7" i="7" s="1"/>
  <c r="G4" i="7"/>
  <c r="Q5" i="7"/>
  <c r="H5" i="7" s="1"/>
  <c r="Q3" i="7"/>
  <c r="H3" i="7" s="1"/>
  <c r="Q4" i="7"/>
  <c r="H4" i="7" s="1"/>
  <c r="P3" i="7"/>
  <c r="Q6" i="7"/>
  <c r="H6" i="7" s="1"/>
  <c r="Q8" i="7"/>
  <c r="Q7" i="7"/>
  <c r="H7" i="7" s="1"/>
  <c r="S2" i="7"/>
  <c r="H41" i="8" l="1"/>
  <c r="G41" i="8"/>
  <c r="H35" i="8"/>
  <c r="Z26" i="8"/>
  <c r="G35" i="8"/>
  <c r="Z10" i="8"/>
  <c r="Z41" i="8"/>
  <c r="V41" i="8"/>
  <c r="H24" i="8"/>
  <c r="G15" i="8"/>
  <c r="Z25" i="8"/>
  <c r="Z40" i="8"/>
  <c r="H37" i="8"/>
  <c r="H30" i="8"/>
  <c r="H28" i="8"/>
  <c r="H31" i="8"/>
  <c r="G12" i="8"/>
  <c r="Q39" i="8"/>
  <c r="Q41" i="8"/>
  <c r="H40" i="8"/>
  <c r="G34" i="8"/>
  <c r="G29" i="8"/>
  <c r="Q28" i="8"/>
  <c r="G22" i="8"/>
  <c r="Z33" i="8"/>
  <c r="G11" i="8"/>
  <c r="G37" i="8"/>
  <c r="V19" i="8"/>
  <c r="H18" i="8"/>
  <c r="Z9" i="8"/>
  <c r="V20" i="8"/>
  <c r="Q40" i="8"/>
  <c r="Q19" i="8"/>
  <c r="I7" i="8"/>
  <c r="Q33" i="8"/>
  <c r="Q13" i="8"/>
  <c r="H36" i="8"/>
  <c r="I4" i="8"/>
  <c r="H23" i="8"/>
  <c r="V12" i="8"/>
  <c r="Q37" i="8"/>
  <c r="G27" i="8"/>
  <c r="H25" i="8"/>
  <c r="G15" i="7"/>
  <c r="G8" i="7"/>
  <c r="R15" i="7"/>
  <c r="R10" i="7"/>
  <c r="R17" i="7"/>
  <c r="V22" i="7"/>
  <c r="Z35" i="8"/>
  <c r="G23" i="8"/>
  <c r="G39" i="8"/>
  <c r="H13" i="8"/>
  <c r="Q12" i="8"/>
  <c r="V7" i="8"/>
  <c r="H33" i="8"/>
  <c r="Z12" i="8"/>
  <c r="G17" i="8"/>
  <c r="V16" i="8"/>
  <c r="Q16" i="8"/>
  <c r="Q21" i="8"/>
  <c r="H32" i="8"/>
  <c r="Z16" i="8"/>
  <c r="H26" i="8"/>
  <c r="I26" i="8" s="1"/>
  <c r="Q7" i="8"/>
  <c r="H11" i="8"/>
  <c r="Q38" i="8"/>
  <c r="BB8" i="8"/>
  <c r="BB9" i="8" s="1"/>
  <c r="BB10" i="8" s="1"/>
  <c r="BB11" i="8" s="1"/>
  <c r="BB12" i="8" s="1"/>
  <c r="BB13" i="8" s="1"/>
  <c r="BB14" i="8" s="1"/>
  <c r="BB15" i="8" s="1"/>
  <c r="BB16" i="8" s="1"/>
  <c r="BB17" i="8" s="1"/>
  <c r="BB18" i="8" s="1"/>
  <c r="BB19" i="8" s="1"/>
  <c r="BB20" i="8" s="1"/>
  <c r="BB21" i="8" s="1"/>
  <c r="BB22" i="8" s="1"/>
  <c r="BB23" i="8" s="1"/>
  <c r="BB24" i="8" s="1"/>
  <c r="BB25" i="8" s="1"/>
  <c r="BB26" i="8" s="1"/>
  <c r="BB27" i="8" s="1"/>
  <c r="BB28" i="8" s="1"/>
  <c r="BB29" i="8" s="1"/>
  <c r="BB30" i="8" s="1"/>
  <c r="BB31" i="8" s="1"/>
  <c r="BB32" i="8" s="1"/>
  <c r="BB33" i="8" s="1"/>
  <c r="BB34" i="8" s="1"/>
  <c r="BB35" i="8" s="1"/>
  <c r="BB36" i="8" s="1"/>
  <c r="BB37" i="8" s="1"/>
  <c r="BB38" i="8" s="1"/>
  <c r="BB39" i="8" s="1"/>
  <c r="BB40" i="8" s="1"/>
  <c r="BB41" i="8" s="1"/>
  <c r="BB42" i="8" s="1"/>
  <c r="G25" i="8"/>
  <c r="M35" i="7"/>
  <c r="V36" i="7"/>
  <c r="M27" i="7"/>
  <c r="M30" i="7"/>
  <c r="M24" i="7"/>
  <c r="V20" i="7"/>
  <c r="V27" i="7"/>
  <c r="M29" i="7"/>
  <c r="M39" i="7"/>
  <c r="M9" i="7"/>
  <c r="V25" i="7"/>
  <c r="V16" i="7"/>
  <c r="R13" i="7"/>
  <c r="V29" i="7"/>
  <c r="M34" i="7"/>
  <c r="V13" i="7"/>
  <c r="V39" i="7"/>
  <c r="M31" i="7"/>
  <c r="M20" i="7"/>
  <c r="M18" i="7"/>
  <c r="M25" i="7"/>
  <c r="M13" i="7"/>
  <c r="M28" i="7"/>
  <c r="M22" i="7"/>
  <c r="M26" i="7"/>
  <c r="M7" i="7"/>
  <c r="M36" i="7"/>
  <c r="M17" i="7"/>
  <c r="M32" i="7"/>
  <c r="G38" i="7"/>
  <c r="H39" i="7"/>
  <c r="R40" i="7"/>
  <c r="V34" i="7"/>
  <c r="V30" i="7"/>
  <c r="M16" i="7"/>
  <c r="M11" i="7"/>
  <c r="M19" i="7"/>
  <c r="M40" i="7"/>
  <c r="M14" i="7"/>
  <c r="Q36" i="8"/>
  <c r="Z11" i="8"/>
  <c r="I6" i="8"/>
  <c r="V31" i="8"/>
  <c r="Q18" i="8"/>
  <c r="H29" i="8"/>
  <c r="Q9" i="8"/>
  <c r="Q10" i="8"/>
  <c r="J2" i="8"/>
  <c r="J3" i="8" s="1"/>
  <c r="J4" i="8" s="1"/>
  <c r="Z14" i="8"/>
  <c r="Q14" i="8"/>
  <c r="H34" i="8"/>
  <c r="H19" i="8"/>
  <c r="I19" i="8" s="1"/>
  <c r="G33" i="8"/>
  <c r="H12" i="8"/>
  <c r="H16" i="8"/>
  <c r="V39" i="8"/>
  <c r="H15" i="8"/>
  <c r="H27" i="8"/>
  <c r="H21" i="8"/>
  <c r="H22" i="8"/>
  <c r="Q11" i="8"/>
  <c r="Q25" i="8"/>
  <c r="V24" i="7"/>
  <c r="M21" i="7"/>
  <c r="M8" i="7"/>
  <c r="V21" i="7"/>
  <c r="M37" i="7"/>
  <c r="M10" i="7"/>
  <c r="M33" i="7"/>
  <c r="M12" i="7"/>
  <c r="V29" i="8"/>
  <c r="V25" i="8"/>
  <c r="V37" i="8"/>
  <c r="H39" i="8"/>
  <c r="Z22" i="8"/>
  <c r="Q34" i="8"/>
  <c r="Z32" i="8"/>
  <c r="Z24" i="8"/>
  <c r="Q35" i="8"/>
  <c r="Z31" i="8"/>
  <c r="G16" i="8"/>
  <c r="Z34" i="8"/>
  <c r="Z29" i="8"/>
  <c r="Z7" i="8"/>
  <c r="G31" i="8"/>
  <c r="Q27" i="8"/>
  <c r="Q29" i="8"/>
  <c r="H14" i="8"/>
  <c r="V24" i="8"/>
  <c r="I2" i="8"/>
  <c r="Z39" i="8"/>
  <c r="Q24" i="8"/>
  <c r="H17" i="8"/>
  <c r="Q15" i="8"/>
  <c r="G20" i="8"/>
  <c r="Z36" i="8"/>
  <c r="Q20" i="8"/>
  <c r="V34" i="8"/>
  <c r="H38" i="8"/>
  <c r="V9" i="8"/>
  <c r="G9" i="8"/>
  <c r="I9" i="8" s="1"/>
  <c r="V33" i="7"/>
  <c r="Z23" i="8"/>
  <c r="V11" i="8"/>
  <c r="Z27" i="8"/>
  <c r="V33" i="8"/>
  <c r="Q31" i="8"/>
  <c r="V17" i="8"/>
  <c r="Q32" i="8"/>
  <c r="Q26" i="8"/>
  <c r="V6" i="8"/>
  <c r="Q8" i="8"/>
  <c r="I3" i="8"/>
  <c r="V32" i="7"/>
  <c r="W3" i="8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H37" i="7"/>
  <c r="Z18" i="8"/>
  <c r="Z21" i="8"/>
  <c r="V35" i="8"/>
  <c r="G24" i="8"/>
  <c r="I24" i="8" s="1"/>
  <c r="Z13" i="8"/>
  <c r="Q30" i="8"/>
  <c r="V10" i="8"/>
  <c r="G40" i="8"/>
  <c r="V40" i="8"/>
  <c r="V4" i="8"/>
  <c r="V27" i="8"/>
  <c r="G21" i="8"/>
  <c r="V21" i="8"/>
  <c r="G32" i="8"/>
  <c r="V32" i="8"/>
  <c r="Q17" i="8"/>
  <c r="H20" i="8"/>
  <c r="I10" i="8"/>
  <c r="Z37" i="8"/>
  <c r="V28" i="8"/>
  <c r="G28" i="8"/>
  <c r="V26" i="8"/>
  <c r="Z8" i="8"/>
  <c r="G14" i="8"/>
  <c r="V14" i="8"/>
  <c r="G38" i="8"/>
  <c r="V38" i="8"/>
  <c r="Z38" i="8"/>
  <c r="G13" i="8"/>
  <c r="V13" i="8"/>
  <c r="V15" i="8"/>
  <c r="G36" i="8"/>
  <c r="V36" i="8"/>
  <c r="Q23" i="8"/>
  <c r="G30" i="8"/>
  <c r="V30" i="8"/>
  <c r="Z19" i="8"/>
  <c r="V23" i="8"/>
  <c r="Q22" i="8"/>
  <c r="Z30" i="8"/>
  <c r="V8" i="8"/>
  <c r="G8" i="8"/>
  <c r="I8" i="8" s="1"/>
  <c r="G18" i="8"/>
  <c r="V18" i="8"/>
  <c r="H5" i="8"/>
  <c r="I5" i="8" s="1"/>
  <c r="V5" i="8"/>
  <c r="Z28" i="8"/>
  <c r="Z20" i="8"/>
  <c r="V22" i="8"/>
  <c r="V3" i="8"/>
  <c r="V26" i="7"/>
  <c r="V7" i="7"/>
  <c r="V9" i="7"/>
  <c r="V8" i="7"/>
  <c r="V37" i="7"/>
  <c r="V15" i="7"/>
  <c r="V40" i="7"/>
  <c r="V23" i="7"/>
  <c r="V11" i="7"/>
  <c r="I5" i="7"/>
  <c r="V28" i="7"/>
  <c r="V19" i="7"/>
  <c r="I7" i="7"/>
  <c r="V17" i="7"/>
  <c r="R27" i="7"/>
  <c r="H34" i="7"/>
  <c r="R7" i="7"/>
  <c r="V14" i="7"/>
  <c r="H28" i="7"/>
  <c r="H31" i="7"/>
  <c r="R30" i="7"/>
  <c r="I19" i="7"/>
  <c r="I2" i="7"/>
  <c r="I4" i="7"/>
  <c r="I6" i="7"/>
  <c r="R33" i="7"/>
  <c r="V31" i="7"/>
  <c r="G11" i="7"/>
  <c r="R11" i="7"/>
  <c r="G9" i="7"/>
  <c r="I9" i="7" s="1"/>
  <c r="R9" i="7"/>
  <c r="R24" i="7"/>
  <c r="G35" i="7"/>
  <c r="R35" i="7"/>
  <c r="G37" i="7"/>
  <c r="R37" i="7"/>
  <c r="G26" i="7"/>
  <c r="R26" i="7"/>
  <c r="R14" i="7"/>
  <c r="H21" i="7"/>
  <c r="G28" i="7"/>
  <c r="R28" i="7"/>
  <c r="R6" i="7"/>
  <c r="G36" i="7"/>
  <c r="R36" i="7"/>
  <c r="R31" i="7"/>
  <c r="G39" i="7"/>
  <c r="R39" i="7"/>
  <c r="R12" i="7"/>
  <c r="R29" i="7"/>
  <c r="H8" i="7"/>
  <c r="I8" i="7" s="1"/>
  <c r="R8" i="7"/>
  <c r="H13" i="7"/>
  <c r="G21" i="7"/>
  <c r="R21" i="7"/>
  <c r="R25" i="7"/>
  <c r="R20" i="7"/>
  <c r="H40" i="7"/>
  <c r="H33" i="7"/>
  <c r="G18" i="7"/>
  <c r="R18" i="7"/>
  <c r="R38" i="7"/>
  <c r="R19" i="7"/>
  <c r="G16" i="7"/>
  <c r="R16" i="7"/>
  <c r="G22" i="7"/>
  <c r="R22" i="7"/>
  <c r="R23" i="7"/>
  <c r="R5" i="7"/>
  <c r="R32" i="7"/>
  <c r="G34" i="7"/>
  <c r="R34" i="7"/>
  <c r="G3" i="7"/>
  <c r="I3" i="7" s="1"/>
  <c r="R3" i="7"/>
  <c r="H36" i="7"/>
  <c r="R4" i="7"/>
  <c r="G25" i="7"/>
  <c r="G31" i="7"/>
  <c r="H20" i="7"/>
  <c r="H29" i="7"/>
  <c r="G29" i="7"/>
  <c r="G14" i="7"/>
  <c r="H26" i="7"/>
  <c r="G20" i="7"/>
  <c r="G40" i="7"/>
  <c r="H38" i="7"/>
  <c r="G30" i="7"/>
  <c r="H35" i="7"/>
  <c r="G33" i="7"/>
  <c r="G32" i="7"/>
  <c r="H25" i="7"/>
  <c r="G27" i="7"/>
  <c r="G23" i="7"/>
  <c r="H32" i="7"/>
  <c r="H30" i="7"/>
  <c r="H22" i="7"/>
  <c r="H15" i="7"/>
  <c r="I15" i="7" s="1"/>
  <c r="H16" i="7"/>
  <c r="G24" i="7"/>
  <c r="I24" i="7" s="1"/>
  <c r="G13" i="7"/>
  <c r="H12" i="7"/>
  <c r="H11" i="7"/>
  <c r="H23" i="7"/>
  <c r="H27" i="7"/>
  <c r="H18" i="7"/>
  <c r="G12" i="7"/>
  <c r="H17" i="7"/>
  <c r="I17" i="7" s="1"/>
  <c r="H14" i="7"/>
  <c r="J2" i="7"/>
  <c r="G10" i="7"/>
  <c r="I10" i="7" s="1"/>
  <c r="AY8" i="7"/>
  <c r="AY9" i="7" s="1"/>
  <c r="AY10" i="7" s="1"/>
  <c r="S3" i="7"/>
  <c r="S4" i="7" s="1"/>
  <c r="S5" i="7" s="1"/>
  <c r="I35" i="8" l="1"/>
  <c r="W41" i="8"/>
  <c r="I31" i="8"/>
  <c r="I41" i="8"/>
  <c r="I11" i="8"/>
  <c r="I37" i="8"/>
  <c r="I28" i="8"/>
  <c r="I15" i="8"/>
  <c r="I18" i="8"/>
  <c r="I30" i="8"/>
  <c r="I40" i="8"/>
  <c r="I12" i="8"/>
  <c r="I23" i="8"/>
  <c r="I27" i="8"/>
  <c r="I29" i="8"/>
  <c r="I39" i="8"/>
  <c r="I34" i="8"/>
  <c r="I22" i="8"/>
  <c r="I36" i="8"/>
  <c r="I25" i="8"/>
  <c r="I17" i="8"/>
  <c r="I13" i="8"/>
  <c r="I33" i="8"/>
  <c r="I38" i="8"/>
  <c r="I32" i="8"/>
  <c r="I21" i="8"/>
  <c r="I18" i="7"/>
  <c r="I38" i="7"/>
  <c r="I39" i="7"/>
  <c r="I16" i="8"/>
  <c r="I33" i="7"/>
  <c r="I14" i="8"/>
  <c r="I20" i="8"/>
  <c r="I31" i="7"/>
  <c r="I30" i="7"/>
  <c r="I26" i="7"/>
  <c r="I32" i="7"/>
  <c r="I13" i="7"/>
  <c r="I37" i="7"/>
  <c r="J5" i="8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I11" i="7"/>
  <c r="I25" i="7"/>
  <c r="I12" i="7"/>
  <c r="I23" i="7"/>
  <c r="I22" i="7"/>
  <c r="I40" i="7"/>
  <c r="I20" i="7"/>
  <c r="I36" i="7"/>
  <c r="I35" i="7"/>
  <c r="I16" i="7"/>
  <c r="I21" i="7"/>
  <c r="I27" i="7"/>
  <c r="I14" i="7"/>
  <c r="I29" i="7"/>
  <c r="I34" i="7"/>
  <c r="I28" i="7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AY11" i="7"/>
  <c r="AY12" i="7" s="1"/>
  <c r="AY13" i="7" s="1"/>
  <c r="AY14" i="7" s="1"/>
  <c r="AY15" i="7" s="1"/>
  <c r="AY16" i="7" s="1"/>
  <c r="AY17" i="7" s="1"/>
  <c r="AY18" i="7" s="1"/>
  <c r="AY19" i="7" s="1"/>
  <c r="AY20" i="7" s="1"/>
  <c r="AY21" i="7" s="1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Y32" i="7" s="1"/>
  <c r="AY33" i="7" s="1"/>
  <c r="AY34" i="7" s="1"/>
  <c r="AY35" i="7" s="1"/>
  <c r="AY36" i="7" s="1"/>
  <c r="S6" i="7"/>
  <c r="W42" i="8" l="1"/>
  <c r="W43" i="8" s="1"/>
  <c r="W44" i="8" s="1"/>
  <c r="AY37" i="7"/>
  <c r="S7" i="7"/>
  <c r="AY38" i="7" l="1"/>
  <c r="S8" i="7"/>
  <c r="S9" i="7" s="1"/>
  <c r="AY39" i="7" l="1"/>
  <c r="S10" i="7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AY40" i="7" l="1"/>
  <c r="AY49" i="7" s="1"/>
  <c r="S21" i="7"/>
  <c r="S22" i="7" s="1"/>
  <c r="S23" i="7" s="1"/>
  <c r="S24" i="7" l="1"/>
  <c r="S25" i="7" l="1"/>
  <c r="S26" i="7" l="1"/>
  <c r="S27" i="7" l="1"/>
  <c r="S28" i="7" s="1"/>
  <c r="S29" i="7" s="1"/>
  <c r="S30" i="7" s="1"/>
  <c r="S31" i="7" s="1"/>
  <c r="S32" i="7" l="1"/>
  <c r="S33" i="7" s="1"/>
  <c r="S34" i="7" s="1"/>
  <c r="S35" i="7" s="1"/>
  <c r="S36" i="7" s="1"/>
  <c r="S37" i="7" s="1"/>
  <c r="S38" i="7" s="1"/>
  <c r="S39" i="7" s="1"/>
  <c r="S40" i="7" s="1"/>
  <c r="S5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tc={F1F3AA6F-4590-764B-B02A-FBD6DDEADC46}</author>
    <author>tc={26D1FA45-9A0D-3846-BFF4-53EF4CD31628}</author>
    <author>tc={62F2FB81-51AA-104D-9863-AE2607DC3615}</author>
    <author>tc={708336C4-6645-6E4C-87A5-4C24D08F8C47}</author>
    <author>tc={B6D43D02-6473-B74C-9200-0532FE9467CF}</author>
    <author>tc={5CC38F39-E13F-3545-9AFC-478DAEB7C480}</author>
    <author>tc={0DDF068B-E02E-5343-95FD-77986C1EBDC2}</author>
    <author>tc={C67F6FE9-F23C-124A-8F0C-5951E4B433A6}</author>
    <author>tc={CFA194D6-277E-1D46-A42A-19646741760B}</author>
    <author>tc={E624752C-7972-F74F-9797-31555071CABD}</author>
    <author>tc={6355A16D-CCF4-B64A-8BCA-2CFB074E661F}</author>
    <author>tc={9CB3A3AA-5E69-8240-A1A9-8BB0D41B34E8}</author>
    <author>tc={1FBF3711-E12B-AD4D-B07A-88862F88DEDF}</author>
    <author>tc={909E3FB5-00AB-6348-BA1B-6B94D0C338AC}</author>
    <author>tc={80BDF1E3-DDE1-B841-9E11-1604927025E2}</author>
    <author>tc={1DD13ABB-36A4-D244-B18C-A4F39F848D33}</author>
    <author>tc={6D43623B-40FD-4D4A-9F01-44AC7B70B285}</author>
    <author>tc={F8DCCE91-B81B-1C43-BC3A-375F77CE86B0}</author>
    <author>tc={C1572A42-3F91-5A46-B8DF-9CCA39E9B2B9}</author>
    <author>tc={CF9F3226-0FE2-564D-A4A9-7F2784F3C46A}</author>
    <author>tc={ED67CD47-C12A-874E-AB1D-359CEFA17367}</author>
    <author>tc={43186F23-93D1-C943-830D-71C4CB21528E}</author>
    <author>tc={6517B263-D802-1147-9B1B-A335C469572D}</author>
    <author>tc={043E8456-734D-744A-B43C-5652517C0775}</author>
    <author>tc={C39A13E5-D41C-894D-9636-D3092126B91C}</author>
    <author>tc={87B111FE-DA8A-7948-BF16-5D2E3FE687D2}</author>
    <author>tc={6427A08C-1FC2-154E-8768-C05906E4F1C2}</author>
    <author>tc={0534C49A-1C5C-CC40-BDE1-7F6FA712CDE2}</author>
    <author>tc={BADDD6D1-FB9B-4043-9D36-69EA9C3A457A}</author>
    <author>tc={BCCBDB0C-2A5C-F14E-8C36-2A365A443FDF}</author>
    <author>tc={582348FC-B84B-9848-B28F-5791AE5CA795}</author>
    <author>tc={B095131F-B64A-754E-A9BC-EC9055B51626}</author>
    <author>tc={777B35E5-F6A5-5644-B255-D558CD40AB52}</author>
    <author>tc={6B2FA69F-0631-424D-A86D-B0664F08F49F}</author>
    <author>tc={655181B7-551B-CB4B-8764-6666CA29B234}</author>
    <author>tc={EB41F9F4-4D4A-6940-B504-DABE272C78AA}</author>
    <author>tc={8634A33D-DB85-1F48-8D62-2A0B1CD719E3}</author>
    <author>tc={A0FB5430-1B01-A248-B9AA-336C52DC8144}</author>
    <author>tc={B6501974-8F13-7F42-AAAA-9BC13EE6EB75}</author>
    <author>tc={93773CDA-9240-3C43-966B-4502AD66A4B9}</author>
    <author>tc={0220B67D-35F6-3945-A7A4-381D53BE04CD}</author>
    <author>tc={FAB815FA-A7DD-424C-B2DE-4927EFE99C16}</author>
    <author>tc={1CB333D2-D642-7346-8967-8B7E2A60DFE2}</author>
    <author>tc={306BE2F1-E246-0D4A-84E8-878362AEEEB7}</author>
    <author>tc={9F980799-7A9B-AD4B-BD7F-8B8291370A7F}</author>
    <author>tc={834FAFCF-C6B7-9543-A0E7-BD685CC36F84}</author>
    <author>tc={D5F3AC6E-2EBA-104A-A93C-252090FBA12A}</author>
    <author>tc={15B9CA3D-6782-C845-8041-0C3493FB6183}</author>
    <author>tc={18C50115-0D71-E149-A74C-81BA331B4604}</author>
    <author>tc={2DCD4715-96A9-074E-9A32-D5B004BE2D12}</author>
    <author>tc={0714A2B9-4B4F-2B47-90C0-AE9808D97C0D}</author>
    <author>tc={1F9C1C6B-BB69-C742-BE7B-68A9C05B71C7}</author>
    <author>tc={9B3E2667-7804-6C43-9F59-4449D612E5E5}</author>
    <author>tc={82FD747E-E2CB-A943-A9F8-7FA14085F9FB}</author>
    <author>tc={5D690A74-5AAC-6745-94CF-5FC2F65030C9}</author>
    <author>tc={21E754EE-2A54-2F44-92E0-9C5C19EF46E1}</author>
    <author>tc={D2BDA15D-DE6A-F740-ABC9-593DBA0F817C}</author>
    <author>tc={C501B7FC-BDBC-8C4A-B82C-90096B2BC182}</author>
    <author>tc={AF4BF46C-247A-264A-8AB8-CE3A145BCA32}</author>
    <author>tc={E4A9DB4A-9BB7-4D47-8562-A4A19239296D}</author>
  </authors>
  <commentList>
    <comment ref="AY1" authorId="0" shapeId="0" xr:uid="{F1F3AA6F-4590-764B-B02A-FBD6DDEADC46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R1" authorId="1" shapeId="0" xr:uid="{26D1FA45-9A0D-3846-BFF4-53EF4CD31628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AA2" authorId="2" shapeId="0" xr:uid="{62F2FB81-51AA-104D-9863-AE2607DC3615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AA3" authorId="3" shapeId="0" xr:uid="{708336C4-6645-6E4C-87A5-4C24D08F8C4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I3" authorId="4" shapeId="0" xr:uid="{B6D43D02-6473-B74C-9200-0532FE9467CF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J3" authorId="5" shapeId="0" xr:uid="{5CC38F39-E13F-3545-9AFC-478DAEB7C480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Y4" authorId="6" shapeId="0" xr:uid="{0DDF068B-E02E-5343-95FD-77986C1EBDC2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</t>
      </text>
    </comment>
    <comment ref="AI5" authorId="7" shapeId="0" xr:uid="{C67F6FE9-F23C-124A-8F0C-5951E4B433A6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J5" authorId="8" shapeId="0" xr:uid="{CFA194D6-277E-1D46-A42A-19646741760B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J6" authorId="9" shapeId="0" xr:uid="{E624752C-7972-F74F-9797-31555071CAB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I7" authorId="10" shapeId="0" xr:uid="{6355A16D-CCF4-B64A-8BCA-2CFB074E661F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G8" authorId="11" shapeId="0" xr:uid="{9CB3A3AA-5E69-8240-A1A9-8BB0D41B34E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I9" authorId="12" shapeId="0" xr:uid="{1FBF3711-E12B-AD4D-B07A-88862F88DED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AA10" authorId="13" shapeId="0" xr:uid="{909E3FB5-00AB-6348-BA1B-6B94D0C338AC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G10" authorId="14" shapeId="0" xr:uid="{80BDF1E3-DDE1-B841-9E11-1604927025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G11" authorId="15" shapeId="0" xr:uid="{1DD13ABB-36A4-D244-B18C-A4F39F848D3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H11" authorId="16" shapeId="0" xr:uid="{6D43623B-40FD-4D4A-9F01-44AC7B70B2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F12" authorId="17" shapeId="0" xr:uid="{F8DCCE91-B81B-1C43-BC3A-375F77CE86B0}">
      <text>
        <t>[Threaded comment]
Your version of Excel allows you to read this threaded comment; however, any edits to it will get removed if the file is opened in a newer version of Excel. Learn more: https://go.microsoft.com/fwlink/?linkid=870924
Comment:
    워릭프랭클린 6085000(본사?)</t>
      </text>
    </comment>
    <comment ref="AG12" authorId="18" shapeId="0" xr:uid="{C1572A42-3F91-5A46-B8DF-9CCA39E9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Y12" authorId="19" shapeId="0" xr:uid="{CF9F3226-0FE2-564D-A4A9-7F2784F3C46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 16만원</t>
      </text>
    </comment>
    <comment ref="BC12" authorId="20" shapeId="0" xr:uid="{ED67CD47-C12A-874E-AB1D-359CEFA173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L12" authorId="21" shapeId="0" xr:uid="{43186F23-93D1-C943-830D-71C4CB21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F13" authorId="22" shapeId="0" xr:uid="{6517B263-D802-1147-9B1B-A335C469572D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R13" authorId="23" shapeId="0" xr:uid="{043E8456-734D-744A-B43C-5652517C0775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G14" authorId="24" shapeId="0" xr:uid="{C39A13E5-D41C-894D-9636-D3092126B91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14" authorId="25" shapeId="0" xr:uid="{87B111FE-DA8A-7948-BF16-5D2E3FE687D2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S15" authorId="26" shapeId="0" xr:uid="{6427A08C-1FC2-154E-8768-C05906E4F1C2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R15" authorId="27" shapeId="0" xr:uid="{0534C49A-1C5C-CC40-BDE1-7F6FA712CDE2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AA16" authorId="28" shapeId="0" xr:uid="{BADDD6D1-FB9B-4043-9D36-69EA9C3A457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G16" authorId="29" shapeId="0" xr:uid="{BCCBDB0C-2A5C-F14E-8C36-2A365A443FDF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H17" authorId="30" shapeId="0" xr:uid="{582348FC-B84B-9848-B28F-5791AE5C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AA18" authorId="31" shapeId="0" xr:uid="{B095131F-B64A-754E-A9BC-EC9055B51626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G18" authorId="32" shapeId="0" xr:uid="{777B35E5-F6A5-5644-B255-D558CD40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G19" authorId="33" shapeId="0" xr:uid="{6B2FA69F-0631-424D-A86D-B0664F08F49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A20" authorId="34" shapeId="0" xr:uid="{655181B7-551B-CB4B-8764-6666CA29B234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G20" authorId="35" shapeId="0" xr:uid="{EB41F9F4-4D4A-6940-B504-DABE272C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20" authorId="36" shapeId="0" xr:uid="{8634A33D-DB85-1F48-8D62-2A0B1CD719E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R20" authorId="37" shapeId="0" xr:uid="{A0FB5430-1B01-A248-B9AA-336C52DC8144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G21" authorId="38" shapeId="0" xr:uid="{B6501974-8F13-7F42-AAAA-9BC13EE6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N23" authorId="39" shapeId="0" xr:uid="{93773CDA-9240-3C43-966B-4502AD66A4B9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H23" authorId="40" shapeId="0" xr:uid="{0220B67D-35F6-3945-A7A4-381D53BE04C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G24" authorId="41" shapeId="0" xr:uid="{FAB815FA-A7DD-424C-B2DE-4927EFE99C1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H24" authorId="42" shapeId="0" xr:uid="{1CB333D2-D642-7346-8967-8B7E2A60DF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N25" authorId="43" shapeId="0" xr:uid="{306BE2F1-E246-0D4A-84E8-878362AEEEB7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J26" authorId="44" shapeId="0" xr:uid="{9F980799-7A9B-AD4B-BD7F-8B8291370A7F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Y27" authorId="45" shapeId="0" xr:uid="{834FAFCF-C6B7-9543-A0E7-BD685CC36F84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N31" authorId="46" shapeId="0" xr:uid="{D5F3AC6E-2EBA-104A-A93C-252090FBA12A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R31" authorId="47" shapeId="0" xr:uid="{15B9CA3D-6782-C845-8041-0C3493FB6183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J32" authorId="48" shapeId="0" xr:uid="{18C50115-0D71-E149-A74C-81BA331B4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J32" authorId="49" shapeId="0" xr:uid="{2DCD4715-96A9-074E-9A32-D5B004BE2D12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N35" authorId="50" shapeId="0" xr:uid="{0714A2B9-4B4F-2B47-90C0-AE9808D9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L35" authorId="51" shapeId="0" xr:uid="{1F9C1C6B-BB69-C742-BE7B-68A9C05B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N36" authorId="52" shapeId="0" xr:uid="{9B3E2667-7804-6C43-9F59-4449D612E5E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L36" authorId="53" shapeId="0" xr:uid="{82FD747E-E2CB-A943-A9F8-7FA14085F9FB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J37" authorId="54" shapeId="0" xr:uid="{5D690A74-5AAC-6745-94CF-5FC2F65030C9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L37" authorId="55" shapeId="0" xr:uid="{21E754EE-2A54-2F44-92E0-9C5C19EF46E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N38" authorId="56" shapeId="0" xr:uid="{D2BDA15D-DE6A-F740-ABC9-593DBA0F817C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L38" authorId="57" shapeId="0" xr:uid="{C501B7FC-BDBC-8C4A-B82C-90096B2BC182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M38" authorId="58" shapeId="0" xr:uid="{AF4BF46C-247A-264A-8AB8-CE3A145B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N40" authorId="59" shapeId="0" xr:uid="{E4A9DB4A-9BB7-4D47-8562-A4A19239296D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tc={F238DA54-D652-4E2E-81B9-ECCB1141D100}</author>
    <author>tc={E211C6B0-C7FE-446A-A26A-CE549C6EDA85}</author>
    <author>tc={2CD33EDA-7A9F-45E9-A5F8-22DF10F0AFDC}</author>
    <author>tc={4B1664A0-C9DC-4528-B8A9-292F4E7B4640}</author>
    <author>tc={A69FFA88-1120-4E68-B44B-0BBB493AADB4}</author>
    <author>tc={68AFE29B-A741-4A31-897E-B9768F4D71B5}</author>
    <author>tc={A4A03BAE-5B8A-45FC-9931-D1394C92475D}</author>
    <author>tc={C26D4D8F-2532-4482-AC7C-B617BE60A141}</author>
    <author>tc={BF6C3A94-DEFD-4BE4-96F3-8C084083546F}</author>
    <author>tc={5DFA6350-26AE-4BF4-BA92-CD4DF9BE1730}</author>
    <author>tc={AE245741-97BA-43E3-9EB3-CF85AEA63291}</author>
    <author>tc={AFF18D9F-9D80-4DD9-8E70-65883B41E223}</author>
    <author>tc={6297AECD-CB0F-4B7D-A24B-5CFD458BF3BE}</author>
    <author>tc={0C228C26-D41C-4433-A7C6-02A1B0084E47}</author>
    <author>tc={09FB5D96-0D96-4501-AC4D-2D18746AE90B}</author>
    <author>tc={7FD6DA99-1C9C-42C8-85F6-02188DC47611}</author>
    <author>tc={86227F63-9C02-4364-B660-DCBCE8280AE6}</author>
    <author>tc={EC68268C-963B-44EC-8A58-70200434A52E}</author>
    <author>tc={A584F660-BCF6-4FE1-90AC-85D9A9EF8417}</author>
    <author>tc={3F664E56-515C-4341-BFEB-54BF8DAC4DAF}</author>
    <author>tc={6E608908-FD28-47E9-B4BA-5DA3E9963C85}</author>
    <author>tc={95B4DDAA-9849-429B-BA11-C38A843A8767}</author>
    <author>tc={4227256E-33B6-4889-B988-B5CFE7498509}</author>
    <author>tc={19F20929-F6A1-415F-B242-269DFF94B1B8}</author>
    <author>tc={4C4192C4-F93A-4783-A3EA-A2398C499B5C}</author>
    <author>tc={14F1E580-7CDB-4A0B-BD66-CF5A1C40A7A6}</author>
    <author>tc={341359FC-62D2-45E2-A1C3-1138D4F8EF3C}</author>
    <author>tc={0A10DF92-6AC0-476B-9BE3-1A6232BD12AA}</author>
    <author>tc={A4BE3DDB-2792-4898-911A-B94D2A8ED6EA}</author>
    <author>tc={9D3E1A02-33AA-4FAC-B0DB-1FEA8E3BF8CD}</author>
    <author>tc={BAD6A922-0D71-4445-9C0A-E1DC3F6E45ED}</author>
    <author>tc={AC57AFB7-A478-400A-8A2D-2D486679124F}</author>
    <author>tc={F26907C1-9407-48C0-9D71-5D390D7159B1}</author>
    <author>tc={41756B55-326F-427F-AE16-073424CED83D}</author>
    <author>tc={2017257C-BCAA-429F-BD05-8D7A76DD3D18}</author>
    <author>tc={A87828A5-2099-4443-AD41-D23DDF7CB24E}</author>
    <author>tc={611B1F09-B546-4CD1-939B-877BDE8CFD6D}</author>
    <author>tc={84E96F43-3642-4B7B-A3AA-7ED6A3418A4D}</author>
    <author>tc={C3DA6986-8E62-409A-A268-D4E5FB6DB5BF}</author>
    <author>tc={A5A8879E-823E-4061-BCBF-2DF85032197C}</author>
    <author>tc={C4E4ACFE-AE4E-4694-BACB-587454F45280}</author>
    <author>tc={88D35DB6-8782-49AF-9F34-C2A950086CB5}</author>
    <author>tc={8A654465-7FF5-4DDA-BCF4-B66B60EC25E9}</author>
    <author>tc={B7101B4C-8253-432A-A0F0-E347DCC2A4F6}</author>
    <author>tc={3CA68B00-4B51-44DA-AC88-D0D3CB3D54BE}</author>
    <author>tc={DFBD6CEA-AD2A-4F28-A0F0-69F86BEF5A93}</author>
    <author>tc={9571C051-EEAC-412E-8463-72CDAD4468D6}</author>
    <author>tc={F572B02A-3D65-4C20-9ED8-072063CD4598}</author>
    <author>tc={257278B0-8F6D-41F1-A670-3FA5D6D6AE6E}</author>
    <author>tc={DBE36B58-4519-4E43-B6FB-923FBB023DBD}</author>
    <author>tc={C13188FD-6F12-4E1A-8D50-A498FFC6ADB0}</author>
    <author>tc={B8927422-DC2D-574D-B3EA-A23A42896604}</author>
    <author>tc={66BEC7DB-D00D-4A63-B4DA-9ABCD97AB3E7}</author>
    <author>tc={FA7FF1B4-0079-2341-A2AB-36FF18060EDD}</author>
    <author>tc={56B2ABCF-AD1F-4D4B-8426-FE824A853073}</author>
    <author>tc={2D18FB49-311E-4443-964C-17BD015662EB}</author>
    <author>tc={FADD0E06-A2B5-4F33-AB3B-787C49CF81C1}</author>
    <author>tc={C0874F8B-58CA-4732-B14D-E44343CFC0DE}</author>
    <author>tc={5CAC3F36-8904-448E-8C70-4DA34201A8D8}</author>
    <author>tc={A787F4B7-9DB4-4B3D-A3C9-1775846F007D}</author>
    <author>tc={5045F27F-1113-4D28-BF48-F312E096CF09}</author>
  </authors>
  <commentList>
    <comment ref="AV1" authorId="0" shapeId="0" xr:uid="{F238DA54-D652-4E2E-81B9-ECCB1141D100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O1" authorId="1" shapeId="0" xr:uid="{E211C6B0-C7FE-446A-A26A-CE549C6EDA85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W2" authorId="2" shapeId="0" xr:uid="{2CD33EDA-7A9F-45E9-A5F8-22DF10F0AFDC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W3" authorId="3" shapeId="0" xr:uid="{4B1664A0-C9DC-4528-B8A9-292F4E7B4640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E3" authorId="4" shapeId="0" xr:uid="{A69FFA88-1120-4E68-B44B-0BBB493AADB4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F3" authorId="5" shapeId="0" xr:uid="{68AFE29B-A741-4A31-897E-B9768F4D71B5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U3" authorId="6" shapeId="0" xr:uid="{A4A03BAE-5B8A-45FC-9931-D1394C924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07.07 안병규 33,000,000 워릭 가맹비
Reply:
    0712 안병규 106,000
Reply:
    0704 안병규 189700</t>
      </text>
    </comment>
    <comment ref="AU4" authorId="7" shapeId="0" xr:uid="{C26D4D8F-2532-4482-AC7C-B617BE60A141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
Reply:
    0830 안병규 25000</t>
      </text>
    </comment>
    <comment ref="AE5" authorId="8" shapeId="0" xr:uid="{BF6C3A94-DEFD-4BE4-96F3-8C084083546F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F5" authorId="9" shapeId="0" xr:uid="{5DFA6350-26AE-4BF4-BA92-CD4DF9BE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U5" authorId="10" shapeId="0" xr:uid="{AE245741-97BA-43E3-9EB3-CF85AEA63291}">
      <text>
        <t>[Threaded comment]
Your version of Excel allows you to read this threaded comment; however, any edits to it will get removed if the file is opened in a newer version of Excel. Learn more: https://go.microsoft.com/fwlink/?linkid=870924
Comment:
    0901 김동혁 500000</t>
      </text>
    </comment>
    <comment ref="AF6" authorId="11" shapeId="0" xr:uid="{AFF18D9F-9D80-4DD9-8E70-65883B41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E7" authorId="12" shapeId="0" xr:uid="{6297AECD-CB0F-4B7D-A24B-5CFD458BF3BE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C8" authorId="13" shapeId="0" xr:uid="{0C228C26-D41C-4433-A7C6-02A1B0084E4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E9" authorId="14" shapeId="0" xr:uid="{09FB5D96-0D96-4501-AC4D-2D18746AE90B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W10" authorId="15" shapeId="0" xr:uid="{7FD6DA99-1C9C-42C8-85F6-02188DC47611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C10" authorId="16" shapeId="0" xr:uid="{86227F63-9C02-4364-B660-DCBCE8280AE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C11" authorId="17" shapeId="0" xr:uid="{EC68268C-963B-44EC-8A58-70200434A52E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E11" authorId="18" shapeId="0" xr:uid="{A584F660-BCF6-4FE1-90AC-85D9A9EF84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C12" authorId="19" shapeId="0" xr:uid="{3F664E56-515C-4341-BFEB-54BF8DAC4DAF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U12" authorId="20" shapeId="0" xr:uid="{6E608908-FD28-47E9-B4BA-5DA3E9963C8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</t>
      </text>
    </comment>
    <comment ref="AZ12" authorId="21" shapeId="0" xr:uid="{95B4DDAA-9849-429B-BA11-C38A843A87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I12" authorId="22" shapeId="0" xr:uid="{4227256E-33B6-4889-B988-B5CFE7498509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B13" authorId="23" shapeId="0" xr:uid="{19F20929-F6A1-415F-B242-269DFF94B1B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O13" authorId="24" shapeId="0" xr:uid="{4C4192C4-F93A-4783-A3EA-A2398C499B5C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C14" authorId="25" shapeId="0" xr:uid="{14F1E580-7CDB-4A0B-BD66-CF5A1C40A7A6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14" authorId="26" shapeId="0" xr:uid="{341359FC-62D2-45E2-A1C3-1138D4F8EF3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O15" authorId="27" shapeId="0" xr:uid="{0A10DF92-6AC0-476B-9BE3-1A6232BD12AA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O15" authorId="28" shapeId="0" xr:uid="{A4BE3DDB-2792-4898-911A-B94D2A8ED6EA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W16" authorId="29" shapeId="0" xr:uid="{9D3E1A02-33AA-4FAC-B0DB-1FEA8E3BF8C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C16" authorId="30" shapeId="0" xr:uid="{BAD6A922-0D71-4445-9C0A-E1DC3F6E4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E17" authorId="31" shapeId="0" xr:uid="{AC57AFB7-A478-400A-8A2D-2D486679124F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W18" authorId="32" shapeId="0" xr:uid="{F26907C1-9407-48C0-9D71-5D390D7159B1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C18" authorId="33" shapeId="0" xr:uid="{41756B55-326F-427F-AE16-073424CED83D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C19" authorId="34" shapeId="0" xr:uid="{2017257C-BCAA-429F-BD05-8D7A76DD3D1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W20" authorId="35" shapeId="0" xr:uid="{A87828A5-2099-4443-AD41-D23DDF7CB24E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C20" authorId="36" shapeId="0" xr:uid="{611B1F09-B546-4CD1-939B-877BDE8CFD6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20" authorId="37" shapeId="0" xr:uid="{84E96F43-3642-4B7B-A3AA-7ED6A3418A4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O20" authorId="38" shapeId="0" xr:uid="{C3DA6986-8E62-409A-A268-D4E5FB6DB5BF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C21" authorId="39" shapeId="0" xr:uid="{A5A8879E-823E-4061-BCBF-2DF85032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J23" authorId="40" shapeId="0" xr:uid="{C4E4ACFE-AE4E-4694-BACB-587454F45280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E23" authorId="41" shapeId="0" xr:uid="{88D35DB6-8782-49AF-9F34-C2A950086CB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C24" authorId="42" shapeId="0" xr:uid="{8A654465-7FF5-4DDA-BCF4-B66B60EC25E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E24" authorId="43" shapeId="0" xr:uid="{B7101B4C-8253-432A-A0F0-E347DCC2A4F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J25" authorId="44" shapeId="0" xr:uid="{3CA68B00-4B51-44DA-AC88-D0D3CB3D54B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F26" authorId="45" shapeId="0" xr:uid="{DFBD6CEA-AD2A-4F28-A0F0-69F86BEF5A93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V27" authorId="46" shapeId="0" xr:uid="{9571C051-EEAC-412E-8463-72CDAD4468D6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K31" authorId="47" shapeId="0" xr:uid="{F572B02A-3D65-4C20-9ED8-072063CD4598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O31" authorId="48" shapeId="0" xr:uid="{257278B0-8F6D-41F1-A670-3FA5D6D6AE6E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F32" authorId="49" shapeId="0" xr:uid="{DBE36B58-4519-4E43-B6FB-923FBB023DBD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G32" authorId="50" shapeId="0" xr:uid="{C13188FD-6F12-4E1A-8D50-A498FFC6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J35" authorId="51" shapeId="0" xr:uid="{B8927422-DC2D-574D-B3EA-A23A4289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I35" authorId="52" shapeId="0" xr:uid="{66BEC7DB-D00D-4A63-B4DA-9ABCD97AB3E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J36" authorId="53" shapeId="0" xr:uid="{FA7FF1B4-0079-2341-A2AB-36FF18060ED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I36" authorId="54" shapeId="0" xr:uid="{56B2ABCF-AD1F-4D4B-8426-FE824A85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F37" authorId="55" shapeId="0" xr:uid="{2D18FB49-311E-4443-964C-17BD015662EB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I37" authorId="56" shapeId="0" xr:uid="{FADD0E06-A2B5-4F33-AB3B-787C49CF81C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J38" authorId="57" shapeId="0" xr:uid="{C0874F8B-58CA-4732-B14D-E44343CFC0DE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I38" authorId="58" shapeId="0" xr:uid="{5CAC3F36-8904-448E-8C70-4DA34201A8D8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J38" authorId="59" shapeId="0" xr:uid="{A787F4B7-9DB4-4B3D-A3C9-1775846F007D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K40" authorId="60" shapeId="0" xr:uid="{5045F27F-1113-4D28-BF48-F312E096CF09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tc={8C4C55AB-A9D1-6B42-8F07-549C1FA398B0}</author>
    <author>tc={C3C13FBF-C837-E74F-9246-1F23E6D389AB}</author>
    <author>tc={003F33A5-2447-8B42-8941-904A0CD2AE41}</author>
    <author>tc={FB942D49-5E15-6842-9F92-AD7948E24899}</author>
    <author>tc={AC55D192-B3C3-2E49-9721-079059BE0EFE}</author>
    <author>tc={4DAD38A4-457B-294A-9AC1-21EEA778A124}</author>
    <author>tc={FF4BBE81-6782-B646-B63C-D0170B7079B0}</author>
    <author>tc={91CB61FD-5E28-BC43-AEAE-7EF2328D775F}</author>
    <author>tc={CB3F12DF-753C-D04B-9F14-780259DB344B}</author>
    <author>tc={DAA52054-23BF-2544-BD1D-C77107796F46}</author>
    <author>tc={D0015E7D-2741-A448-90E5-CC2727C217AE}</author>
    <author>tc={6AF43358-F8D7-BB4F-8FE0-3FD9CF00097E}</author>
    <author>tc={D2BFA4F3-3A75-3B45-8750-1DAD624E5418}</author>
    <author>tc={8142E951-AF97-BC47-8867-FC476BA9A942}</author>
    <author>tc={4BDBCCC6-A43A-BE4B-85C7-E69CD7EBC4EE}</author>
    <author>tc={176FBCC8-49BC-B644-864D-7BFAB1151F48}</author>
  </authors>
  <commentList>
    <comment ref="BL2" authorId="0" shapeId="0" xr:uid="{8C4C55AB-A9D1-6B42-8F07-549C1FA398B0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김은채 20</t>
      </text>
    </comment>
    <comment ref="D5" authorId="1" shapeId="0" xr:uid="{C3C13FBF-C837-E74F-9246-1F23E6D389AB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P5" authorId="2" shapeId="0" xr:uid="{003F33A5-2447-8B42-8941-904A0CD2AE41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AN5" authorId="3" shapeId="0" xr:uid="{FB942D49-5E15-6842-9F92-AD7948E24899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AZ5" authorId="4" shapeId="0" xr:uid="{AC55D192-B3C3-2E49-9721-079059BE0EFE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BL5" authorId="5" shapeId="0" xr:uid="{4DAD38A4-457B-294A-9AC1-21EEA778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D6" authorId="6" shapeId="0" xr:uid="{FF4BBE81-6782-B646-B63C-D0170B7079B0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P6" authorId="7" shapeId="0" xr:uid="{91CB61FD-5E28-BC43-AEAE-7EF2328D775F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AN6" authorId="8" shapeId="0" xr:uid="{CB3F12DF-753C-D04B-9F14-780259DB344B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AZ6" authorId="9" shapeId="0" xr:uid="{DAA52054-23BF-2544-BD1D-C77107796F46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
Reply:
    민하 20</t>
      </text>
    </comment>
    <comment ref="BL6" authorId="10" shapeId="0" xr:uid="{D0015E7D-2741-A448-90E5-CC2727C217AE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
Reply:
    민하 20</t>
      </text>
    </comment>
    <comment ref="D8" authorId="11" shapeId="0" xr:uid="{6AF43358-F8D7-BB4F-8FE0-3FD9CF00097E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P8" authorId="12" shapeId="0" xr:uid="{D2BFA4F3-3A75-3B45-8750-1DAD624E5418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AN8" authorId="13" shapeId="0" xr:uid="{8142E951-AF97-BC47-8867-FC476BA9A942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AZ8" authorId="14" shapeId="0" xr:uid="{4BDBCCC6-A43A-BE4B-85C7-E69CD7EBC4EE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BL8" authorId="15" shapeId="0" xr:uid="{176FBCC8-49BC-B644-864D-7BFAB1151F48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</commentList>
</comments>
</file>

<file path=xl/sharedStrings.xml><?xml version="1.0" encoding="utf-8"?>
<sst xmlns="http://schemas.openxmlformats.org/spreadsheetml/2006/main" count="701" uniqueCount="151">
  <si>
    <t>수익</t>
    <phoneticPr fontId="1" type="noConversion"/>
  </si>
  <si>
    <t>정규</t>
    <phoneticPr fontId="1" type="noConversion"/>
  </si>
  <si>
    <t>원비</t>
    <phoneticPr fontId="1" type="noConversion"/>
  </si>
  <si>
    <t>명수</t>
    <phoneticPr fontId="1" type="noConversion"/>
  </si>
  <si>
    <t>나이</t>
    <phoneticPr fontId="1" type="noConversion"/>
  </si>
  <si>
    <t>재료비</t>
    <phoneticPr fontId="1" type="noConversion"/>
  </si>
  <si>
    <t>교재비</t>
    <phoneticPr fontId="1" type="noConversion"/>
  </si>
  <si>
    <t>식비</t>
    <phoneticPr fontId="1" type="noConversion"/>
  </si>
  <si>
    <t>방과후</t>
    <phoneticPr fontId="1" type="noConversion"/>
  </si>
  <si>
    <t>오후반</t>
    <phoneticPr fontId="1" type="noConversion"/>
  </si>
  <si>
    <t>초등</t>
    <phoneticPr fontId="1" type="noConversion"/>
  </si>
  <si>
    <t>통합</t>
    <phoneticPr fontId="1" type="noConversion"/>
  </si>
  <si>
    <t>합계</t>
    <phoneticPr fontId="1" type="noConversion"/>
  </si>
  <si>
    <t>비용</t>
    <phoneticPr fontId="1" type="noConversion"/>
  </si>
  <si>
    <t>급여</t>
    <phoneticPr fontId="1" type="noConversion"/>
  </si>
  <si>
    <t>수당</t>
    <phoneticPr fontId="1" type="noConversion"/>
  </si>
  <si>
    <t>보험,세금</t>
    <phoneticPr fontId="1" type="noConversion"/>
  </si>
  <si>
    <t>안전지도</t>
    <phoneticPr fontId="1" type="noConversion"/>
  </si>
  <si>
    <t>셔틀</t>
    <phoneticPr fontId="1" type="noConversion"/>
  </si>
  <si>
    <t>보안</t>
    <phoneticPr fontId="1" type="noConversion"/>
  </si>
  <si>
    <t>인터넷</t>
    <phoneticPr fontId="1" type="noConversion"/>
  </si>
  <si>
    <t>관리비</t>
    <phoneticPr fontId="1" type="noConversion"/>
  </si>
  <si>
    <t>본사가맹비</t>
    <phoneticPr fontId="1" type="noConversion"/>
  </si>
  <si>
    <t>월세</t>
    <phoneticPr fontId="1" type="noConversion"/>
  </si>
  <si>
    <t>라즈키즈</t>
    <phoneticPr fontId="1" type="noConversion"/>
  </si>
  <si>
    <t>르네상스</t>
    <phoneticPr fontId="1" type="noConversion"/>
  </si>
  <si>
    <t>돌봄</t>
    <phoneticPr fontId="1" type="noConversion"/>
  </si>
  <si>
    <t>늘품</t>
    <phoneticPr fontId="1" type="noConversion"/>
  </si>
  <si>
    <t>공청기등 렌탈료</t>
    <phoneticPr fontId="1" type="noConversion"/>
  </si>
  <si>
    <t>행사비 재료비</t>
    <phoneticPr fontId="1" type="noConversion"/>
  </si>
  <si>
    <t>할인</t>
  </si>
  <si>
    <t>음악</t>
  </si>
  <si>
    <t>4-1</t>
  </si>
  <si>
    <t>5-1</t>
  </si>
  <si>
    <t>6-1</t>
  </si>
  <si>
    <t>6-2</t>
  </si>
  <si>
    <t>7-2</t>
  </si>
  <si>
    <t>청소</t>
  </si>
  <si>
    <t>Tori</t>
  </si>
  <si>
    <t>Daisy</t>
  </si>
  <si>
    <t>5세 화목</t>
  </si>
  <si>
    <t>자가등하원</t>
    <phoneticPr fontId="1" type="noConversion"/>
  </si>
  <si>
    <t>Quincy</t>
    <phoneticPr fontId="1" type="noConversion"/>
  </si>
  <si>
    <t>프린트</t>
    <phoneticPr fontId="1" type="noConversion"/>
  </si>
  <si>
    <t>7-3</t>
  </si>
  <si>
    <t>Jevon</t>
  </si>
  <si>
    <t>댄스</t>
  </si>
  <si>
    <t>뮤앤무</t>
  </si>
  <si>
    <t>FLU</t>
  </si>
  <si>
    <t>5-2</t>
  </si>
  <si>
    <t>6,7세 월수금 신규</t>
  </si>
  <si>
    <t>이세영</t>
  </si>
  <si>
    <t>Amy</t>
  </si>
  <si>
    <t>6,7세 월수금 2년차</t>
  </si>
  <si>
    <t>FLA</t>
  </si>
  <si>
    <t>FLA-3</t>
  </si>
  <si>
    <t>FLL</t>
  </si>
  <si>
    <t>Jason</t>
  </si>
  <si>
    <t>이승아</t>
  </si>
  <si>
    <t>??</t>
  </si>
  <si>
    <t>월</t>
    <phoneticPr fontId="1" type="noConversion"/>
  </si>
  <si>
    <t>오전</t>
    <phoneticPr fontId="1" type="noConversion"/>
  </si>
  <si>
    <t>오후</t>
    <phoneticPr fontId="1" type="noConversion"/>
  </si>
  <si>
    <t>기타 일반 비용</t>
    <phoneticPr fontId="1" type="noConversion"/>
  </si>
  <si>
    <t>투자</t>
    <phoneticPr fontId="1" type="noConversion"/>
  </si>
  <si>
    <t>전문가 비용</t>
    <phoneticPr fontId="1" type="noConversion"/>
  </si>
  <si>
    <t>인테리어</t>
    <phoneticPr fontId="1" type="noConversion"/>
  </si>
  <si>
    <t>의문 출금</t>
    <phoneticPr fontId="1" type="noConversion"/>
  </si>
  <si>
    <t>카드값</t>
    <phoneticPr fontId="1" type="noConversion"/>
  </si>
  <si>
    <t>홍보</t>
    <phoneticPr fontId="1" type="noConversion"/>
  </si>
  <si>
    <t>임대보증금</t>
    <phoneticPr fontId="1" type="noConversion"/>
  </si>
  <si>
    <t>임대료</t>
    <phoneticPr fontId="1" type="noConversion"/>
  </si>
  <si>
    <t>인건비</t>
    <phoneticPr fontId="1" type="noConversion"/>
  </si>
  <si>
    <t>원복</t>
    <phoneticPr fontId="1" type="noConversion"/>
  </si>
  <si>
    <t>가맹</t>
    <phoneticPr fontId="1" type="noConversion"/>
  </si>
  <si>
    <t>세금</t>
    <phoneticPr fontId="1" type="noConversion"/>
  </si>
  <si>
    <t>환불</t>
    <phoneticPr fontId="1" type="noConversion"/>
  </si>
  <si>
    <t>도서</t>
    <phoneticPr fontId="1" type="noConversion"/>
  </si>
  <si>
    <t>총입금</t>
    <phoneticPr fontId="1" type="noConversion"/>
  </si>
  <si>
    <t>총출금</t>
    <phoneticPr fontId="1" type="noConversion"/>
  </si>
  <si>
    <t>총잔액</t>
    <phoneticPr fontId="1" type="noConversion"/>
  </si>
  <si>
    <t>안병규 입금</t>
    <phoneticPr fontId="1" type="noConversion"/>
  </si>
  <si>
    <t>법인 입금</t>
    <phoneticPr fontId="1" type="noConversion"/>
  </si>
  <si>
    <t>법인 출금</t>
    <phoneticPr fontId="1" type="noConversion"/>
  </si>
  <si>
    <t>법인 잔액</t>
    <phoneticPr fontId="1" type="noConversion"/>
  </si>
  <si>
    <t>계좌간 이동</t>
    <phoneticPr fontId="1" type="noConversion"/>
  </si>
  <si>
    <t>대출</t>
    <phoneticPr fontId="1" type="noConversion"/>
  </si>
  <si>
    <t>대출이자</t>
    <phoneticPr fontId="1" type="noConversion"/>
  </si>
  <si>
    <t>기타소득</t>
    <phoneticPr fontId="1" type="noConversion"/>
  </si>
  <si>
    <t>중고차</t>
    <phoneticPr fontId="1" type="noConversion"/>
  </si>
  <si>
    <t>인건비_급여외</t>
    <phoneticPr fontId="1" type="noConversion"/>
  </si>
  <si>
    <t>개인 잔액</t>
    <phoneticPr fontId="1" type="noConversion"/>
  </si>
  <si>
    <t>개인 입금</t>
    <phoneticPr fontId="1" type="noConversion"/>
  </si>
  <si>
    <t>개인 출금</t>
    <phoneticPr fontId="1" type="noConversion"/>
  </si>
  <si>
    <t>계좌간거래</t>
    <phoneticPr fontId="1" type="noConversion"/>
  </si>
  <si>
    <t>개인사업자 입금</t>
    <phoneticPr fontId="1" type="noConversion"/>
  </si>
  <si>
    <t>법인 매출</t>
  </si>
  <si>
    <t>법인 비용</t>
  </si>
  <si>
    <t>법인 영업이익</t>
  </si>
  <si>
    <t>총매출</t>
  </si>
  <si>
    <t>총비용</t>
  </si>
  <si>
    <t>총영업이익</t>
  </si>
  <si>
    <t>총차액</t>
  </si>
  <si>
    <t>법인 차액</t>
  </si>
  <si>
    <t>연도</t>
  </si>
  <si>
    <t>총대출</t>
  </si>
  <si>
    <t>총안병규입금</t>
  </si>
  <si>
    <t>총입금</t>
  </si>
  <si>
    <t>총출금</t>
  </si>
  <si>
    <t>총잔액</t>
  </si>
  <si>
    <t>FLI</t>
  </si>
  <si>
    <t>FLA+</t>
  </si>
  <si>
    <t>순이익</t>
  </si>
  <si>
    <t>영업매출</t>
  </si>
  <si>
    <t>기타매출</t>
  </si>
  <si>
    <t>고정비용</t>
  </si>
  <si>
    <t>변동비용</t>
  </si>
  <si>
    <t>26/03</t>
  </si>
  <si>
    <t>???</t>
  </si>
  <si>
    <t>장은영</t>
  </si>
  <si>
    <t>5-1 A</t>
  </si>
  <si>
    <t>5-1 B</t>
  </si>
  <si>
    <t>6-3</t>
  </si>
  <si>
    <t>보조</t>
  </si>
  <si>
    <t>Desk</t>
  </si>
  <si>
    <t>FLH</t>
  </si>
  <si>
    <t>7-2없는거</t>
  </si>
  <si>
    <t>5반버전</t>
  </si>
  <si>
    <t>Elly</t>
  </si>
  <si>
    <t>Soo</t>
  </si>
  <si>
    <t>FLB</t>
  </si>
  <si>
    <t>FLP</t>
  </si>
  <si>
    <t>FLF</t>
  </si>
  <si>
    <t>Tina</t>
  </si>
  <si>
    <t>Loralee</t>
  </si>
  <si>
    <t>Dean</t>
  </si>
  <si>
    <t>배수경</t>
  </si>
  <si>
    <t>오감놀이</t>
  </si>
  <si>
    <t>Chantille</t>
  </si>
  <si>
    <t>FLF-3</t>
  </si>
  <si>
    <t>Belu</t>
  </si>
  <si>
    <t>차4대</t>
  </si>
  <si>
    <t>차3대+탕</t>
  </si>
  <si>
    <t>FLP-3</t>
  </si>
  <si>
    <t>셔틀</t>
  </si>
  <si>
    <t>Cleo</t>
  </si>
  <si>
    <t>6,7세 월수금 3년차</t>
  </si>
  <si>
    <t>26/06/07</t>
  </si>
  <si>
    <t>Kate</t>
  </si>
  <si>
    <t>IB</t>
  </si>
  <si>
    <t>튜터링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</si>
</sst>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###,##0"/>
    <numFmt numFmtId="166" formatCode="#,###"/>
  </numFmts>
  <fonts count="10"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1"/>
      <color indexed="8"/>
      <name val="Calibri"/>
      <family val="2"/>
      <scheme val="minor"/>
    </font>
    <font>
      <sz val="11"/>
      <name val="맑은 고딕"/>
      <family val="3"/>
      <charset val="129"/>
    </font>
    <font>
      <sz val="10"/>
      <color rgb="FF000000"/>
      <name val="Malgun Gothic"/>
      <family val="2"/>
      <charset val="129"/>
    </font>
    <font>
      <sz val="11"/>
      <color rgb="FF000000"/>
      <name val="pd"/>
      <family val="2"/>
      <charset val="129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7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quotePrefix="1">
      <alignment vertical="center"/>
    </xf>
    <xf numFmtId="16" fontId="0" fillId="0" borderId="0" xfId="0" applyNumberFormat="1">
      <alignment vertical="center"/>
    </xf>
    <xf numFmtId="16" fontId="0" fillId="0" borderId="0" xfId="0" quotePrefix="1" applyNumberFormat="1">
      <alignment vertical="center"/>
    </xf>
    <xf numFmtId="164" fontId="0" fillId="0" borderId="0" xfId="1" applyFont="1">
      <alignment vertical="center"/>
    </xf>
    <xf numFmtId="164" fontId="0" fillId="2" borderId="0" xfId="1" applyFont="1" applyFill="1">
      <alignment vertical="center"/>
    </xf>
    <xf numFmtId="164" fontId="0" fillId="0" borderId="0" xfId="1" applyFont="1" applyFill="1">
      <alignment vertical="center"/>
    </xf>
    <xf numFmtId="165" fontId="3" fillId="0" borderId="1" xfId="0" applyNumberFormat="1" applyFont="1" applyBorder="1" applyAlignment="1">
      <alignment horizontal="right"/>
    </xf>
    <xf numFmtId="166" fontId="4" fillId="3" borderId="1" xfId="0" applyNumberFormat="1" applyFont="1" applyFill="1" applyBorder="1" applyAlignment="1">
      <alignment horizontal="right" vertical="center" wrapText="1"/>
    </xf>
    <xf numFmtId="3" fontId="6" fillId="4" borderId="1" xfId="2" applyNumberFormat="1" applyFont="1" applyFill="1" applyBorder="1" applyAlignment="1">
      <alignment horizontal="right" vertical="center"/>
    </xf>
    <xf numFmtId="3" fontId="8" fillId="0" borderId="2" xfId="0" applyNumberFormat="1" applyFont="1" applyBorder="1" applyAlignment="1">
      <alignment horizontal="right" vertical="center" wrapText="1"/>
    </xf>
    <xf numFmtId="3" fontId="8" fillId="0" borderId="2" xfId="3" applyNumberFormat="1" applyFont="1" applyBorder="1" applyAlignment="1">
      <alignment horizontal="right" vertical="center" wrapText="1"/>
    </xf>
    <xf numFmtId="165" fontId="3" fillId="0" borderId="0" xfId="0" applyNumberFormat="1" applyFont="1" applyAlignment="1">
      <alignment horizontal="right"/>
    </xf>
    <xf numFmtId="3" fontId="6" fillId="4" borderId="0" xfId="2" applyNumberFormat="1" applyFont="1" applyFill="1" applyAlignment="1">
      <alignment horizontal="right" vertical="center"/>
    </xf>
    <xf numFmtId="3" fontId="8" fillId="0" borderId="0" xfId="0" applyNumberFormat="1" applyFont="1" applyAlignment="1">
      <alignment horizontal="right" vertical="center" wrapText="1"/>
    </xf>
    <xf numFmtId="3" fontId="8" fillId="0" borderId="0" xfId="3" applyNumberFormat="1" applyFont="1" applyAlignment="1">
      <alignment horizontal="right" vertical="center" wrapText="1"/>
    </xf>
  </cellXfs>
  <cellStyles count="4">
    <cellStyle name="Comma [0]" xfId="1" builtinId="6"/>
    <cellStyle name="Normal" xfId="0" builtinId="0"/>
    <cellStyle name="표준 2" xfId="2" xr:uid="{942D95C8-EADC-4EEF-9E8E-2A978CB84F8E}"/>
    <cellStyle name="표준 3" xfId="3" xr:uid="{58C99632-5F68-4061-A4E8-2AA73A577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6319" id="{2088F17F-74E5-F44D-8FBB-FEA1C486048F}" userId="S::D6319@365f.me::c8723857-1479-4a1b-a375-e2f2a8810c7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1" dT="2025-08-29T13:06:28.12" personId="{2088F17F-74E5-F44D-8FBB-FEA1C486048F}" id="{F1F3AA6F-4590-764B-B02A-FBD6DDEADC46}">
    <text>금융인증서발급수수료 4,400</text>
  </threadedComment>
  <threadedComment ref="BR1" dT="2025-08-29T13:06:28.12" personId="{2088F17F-74E5-F44D-8FBB-FEA1C486048F}" id="{26D1FA45-9A0D-3846-BFF4-53EF4CD31628}">
    <text>금융인증서발급수수료 4,400</text>
  </threadedComment>
  <threadedComment ref="AA2" dT="2025-08-29T13:07:26.15" personId="{2088F17F-74E5-F44D-8FBB-FEA1C486048F}" id="{62F2FB81-51AA-104D-9863-AE2607DC3615}">
    <text>안병규</text>
  </threadedComment>
  <threadedComment ref="AA3" dT="2025-08-29T13:17:50.80" personId="{2088F17F-74E5-F44D-8FBB-FEA1C486048F}" id="{708336C4-6645-6E4C-87A5-4C24D08F8C47}">
    <text>김명선 3000</text>
  </threadedComment>
  <threadedComment ref="AA3" dT="2025-08-29T13:17:58.48" personId="{2088F17F-74E5-F44D-8FBB-FEA1C486048F}" id="{ED0A861A-7E2A-E446-AB66-68C4370754B5}" parentId="{708336C4-6645-6E4C-87A5-4C24D08F8C47}">
    <text>김경현 3000</text>
  </threadedComment>
  <threadedComment ref="AA3" dT="2025-08-29T13:18:05.96" personId="{2088F17F-74E5-F44D-8FBB-FEA1C486048F}" id="{4453A461-7D75-1849-AD63-DD71E6A59F60}" parentId="{708336C4-6645-6E4C-87A5-4C24D08F8C47}">
    <text>신선민 6000</text>
  </threadedComment>
  <threadedComment ref="AA3" dT="2025-08-29T13:18:16.01" personId="{2088F17F-74E5-F44D-8FBB-FEA1C486048F}" id="{81BB2966-C03B-5641-801F-BD4DFBB12663}" parentId="{708336C4-6645-6E4C-87A5-4C24D08F8C47}">
    <text>문철호 6000</text>
  </threadedComment>
  <threadedComment ref="AA3" dT="2025-08-29T13:18:23.85" personId="{2088F17F-74E5-F44D-8FBB-FEA1C486048F}" id="{01846BBD-44A8-344E-9E39-216CF9F04A95}" parentId="{708336C4-6645-6E4C-87A5-4C24D08F8C47}">
    <text>김기현 12000</text>
  </threadedComment>
  <threadedComment ref="AA3" dT="2025-08-29T13:18:33.52" personId="{2088F17F-74E5-F44D-8FBB-FEA1C486048F}" id="{4ACF3C8C-588A-714A-801C-996529594F80}" parentId="{708336C4-6645-6E4C-87A5-4C24D08F8C47}">
    <text>문현성 6000</text>
  </threadedComment>
  <threadedComment ref="AA3" dT="2025-08-29T13:18:37.66" personId="{2088F17F-74E5-F44D-8FBB-FEA1C486048F}" id="{65766A0D-D9D9-C44B-B0B9-92DF25614AD5}" parentId="{708336C4-6645-6E4C-87A5-4C24D08F8C47}">
    <text>최솔잎 6000</text>
  </threadedComment>
  <threadedComment ref="AA3" dT="2025-08-29T13:18:56.64" personId="{2088F17F-74E5-F44D-8FBB-FEA1C486048F}" id="{5A357445-59B1-4547-8062-E306B743C1F2}" parentId="{708336C4-6645-6E4C-87A5-4C24D08F8C47}">
    <text>김소영 6000.5</text>
  </threadedComment>
  <threadedComment ref="AA3" dT="2025-08-29T13:19:02.37" personId="{2088F17F-74E5-F44D-8FBB-FEA1C486048F}" id="{4706A4AC-6599-AF4D-8B62-6E3DB4FD289B}" parentId="{708336C4-6645-6E4C-87A5-4C24D08F8C47}">
    <text>안병규 6000</text>
  </threadedComment>
  <threadedComment ref="AA3" dT="2025-08-29T13:20:04.31" personId="{2088F17F-74E5-F44D-8FBB-FEA1C486048F}" id="{DDFE97F5-5140-6C49-894D-E26908A02B69}" parentId="{708336C4-6645-6E4C-87A5-4C24D08F8C47}">
    <text>류주영 6000</text>
  </threadedComment>
  <threadedComment ref="AI3" dT="2025-08-29T13:09:10.07" personId="{2088F17F-74E5-F44D-8FBB-FEA1C486048F}" id="{B6D43D02-6473-B74C-9200-0532FE9467CF}">
    <text>변호사 (계약서 작성) 5,500,000</text>
  </threadedComment>
  <threadedComment ref="AI3" dT="2025-08-29T13:09:37.21" personId="{2088F17F-74E5-F44D-8FBB-FEA1C486048F}" id="{C836DE4F-9AD5-2645-8F8D-58BAEC2447CB}" parentId="{B6D43D02-6473-B74C-9200-0532FE9467CF}">
    <text>세무사 495,000</text>
  </threadedComment>
  <threadedComment ref="AI3" dT="2025-08-29T13:20:54.66" personId="{2088F17F-74E5-F44D-8FBB-FEA1C486048F}" id="{6DF33901-B594-1E4A-8B0F-CCF005A853A6}" parentId="{B6D43D02-6473-B74C-9200-0532FE9467CF}">
    <text>0718 법무사 증자</text>
  </threadedComment>
  <threadedComment ref="AI3" dT="2025-08-29T13:21:09.16" personId="{2088F17F-74E5-F44D-8FBB-FEA1C486048F}" id="{64B3CB3C-3FEE-BC4F-8550-254462BCE296}" parentId="{B6D43D02-6473-B74C-9200-0532FE9467CF}">
    <text>0720 세무기장 165000</text>
  </threadedComment>
  <threadedComment ref="AI3" dT="2025-08-29T13:23:04.92" personId="{2088F17F-74E5-F44D-8FBB-FEA1C486048F}" id="{089F4B78-7C16-2843-A21C-1A2F50B05A33}" parentId="{B6D43D02-6473-B74C-9200-0532FE9467CF}">
    <text>0729 공인중개수수료</text>
  </threadedComment>
  <threadedComment ref="AJ3" dT="2025-08-29T13:22:39.51" personId="{2088F17F-74E5-F44D-8FBB-FEA1C486048F}" id="{5CC38F39-E13F-3545-9AFC-478DAEB7C480}">
    <text>1375000 두번나감 확인 필요</text>
  </threadedComment>
  <threadedComment ref="AY4" dT="2025-09-22T01:21:01.85" personId="{2088F17F-74E5-F44D-8FBB-FEA1C486048F}" id="{0DDF068B-E02E-5343-95FD-77986C1EBDC2}">
    <text>0817 농협주식회사비에이</text>
  </threadedComment>
  <threadedComment ref="AI5" dT="2025-08-29T13:30:12.98" personId="{2088F17F-74E5-F44D-8FBB-FEA1C486048F}" id="{C67F6FE9-F23C-124A-8F0C-5951E4B433A6}">
    <text>0929 중개수수료 330,000</text>
  </threadedComment>
  <threadedComment ref="AJ5" dT="2025-08-29T13:30:26.50" personId="{2088F17F-74E5-F44D-8FBB-FEA1C486048F}" id="{CFA194D6-277E-1D46-A42A-19646741760B}">
    <text>냉장고</text>
  </threadedComment>
  <threadedComment ref="AJ6" dT="2025-08-29T13:31:34.29" personId="{2088F17F-74E5-F44D-8FBB-FEA1C486048F}" id="{E624752C-7972-F74F-9797-31555071CABD}">
    <text>1003 김소영 사무실 가구 287500</text>
  </threadedComment>
  <threadedComment ref="AJ6" dT="2025-08-29T13:31:45.66" personId="{2088F17F-74E5-F44D-8FBB-FEA1C486048F}" id="{F91F4468-8FC3-C449-B64A-A1F2D95D3797}" parentId="{E624752C-7972-F74F-9797-31555071CABD}">
    <text>1003 김소영 현관매트 15400</text>
  </threadedComment>
  <threadedComment ref="AJ6" dT="2025-08-29T13:31:55.55" personId="{2088F17F-74E5-F44D-8FBB-FEA1C486048F}" id="{9A3A4B68-59A0-8541-8FC5-A460D3579950}" parentId="{E624752C-7972-F74F-9797-31555071CABD}">
    <text>1003 김소영 책장 318500</text>
  </threadedComment>
  <threadedComment ref="AJ6" dT="2025-08-29T13:32:10.69" personId="{2088F17F-74E5-F44D-8FBB-FEA1C486048F}" id="{7512D9CF-5466-7441-A0A6-9B3E672AA6EE}" parentId="{E624752C-7972-F74F-9797-31555071CABD}">
    <text>1003 김소영 커피머신 90400</text>
  </threadedComment>
  <threadedComment ref="AJ6" dT="2025-08-29T13:33:17.76" personId="{2088F17F-74E5-F44D-8FBB-FEA1C486048F}" id="{E7BE2205-20A4-3844-AF79-757D38E2BB8D}" parentId="{E624752C-7972-F74F-9797-31555071CABD}">
    <text>1004 마또 착수금 73,500,000</text>
  </threadedComment>
  <threadedComment ref="AJ6" dT="2025-08-29T13:34:17.74" personId="{2088F17F-74E5-F44D-8FBB-FEA1C486048F}" id="{9620FE6F-3981-FC43-B5DB-559A945D513F}" parentId="{E624752C-7972-F74F-9797-31555071CABD}">
    <text>1006 프린터 217500</text>
  </threadedComment>
  <threadedComment ref="AI7" dT="2025-08-29T13:44:39.13" personId="{2088F17F-74E5-F44D-8FBB-FEA1C486048F}" id="{6355A16D-CCF4-B64A-8BCA-2CFB074E661F}">
    <text>부동산 + 본점이전등기</text>
  </threadedComment>
  <threadedComment ref="AI7" dT="2025-08-29T13:47:13.82" personId="{2088F17F-74E5-F44D-8FBB-FEA1C486048F}" id="{BEB0880F-66C0-7841-9C98-F918AEAF601A}" parentId="{6355A16D-CCF4-B64A-8BCA-2CFB074E661F}">
    <text>법인설립비용</text>
  </threadedComment>
  <threadedComment ref="AI7" dT="2025-08-29T13:47:30.31" personId="{2088F17F-74E5-F44D-8FBB-FEA1C486048F}" id="{314C879F-4009-FD47-9D94-61F8CFD248DC}" parentId="{6355A16D-CCF4-B64A-8BCA-2CFB074E661F}">
    <text>모네 리쿠르팅 CHOEJENNIF</text>
  </threadedComment>
  <threadedComment ref="AG8" dT="2025-08-29T15:13:35.61" personId="{2088F17F-74E5-F44D-8FBB-FEA1C486048F}" id="{9CB3A3AA-5E69-8240-A1A9-8BB0D41B34E8}">
    <text>이자</text>
  </threadedComment>
  <threadedComment ref="AI9" dT="2025-08-29T14:23:38.23" personId="{2088F17F-74E5-F44D-8FBB-FEA1C486048F}" id="{1FBF3711-E12B-AD4D-B07A-88862F88DEDF}">
    <text>이사</text>
  </threadedComment>
  <threadedComment ref="AA10" dT="2025-08-29T15:34:05.76" personId="{2088F17F-74E5-F44D-8FBB-FEA1C486048F}" id="{909E3FB5-00AB-6348-BA1B-6B94D0C338AC}">
    <text>문현성 최솔잎 김희경 김희경 김희경 김경현 김명선</text>
  </threadedComment>
  <threadedComment ref="AA10" dT="2025-08-29T15:35:07.42" personId="{2088F17F-74E5-F44D-8FBB-FEA1C486048F}" id="{A2CA493F-9BBE-4A47-95DF-0C0CD63AEDF6}" parentId="{909E3FB5-00AB-6348-BA1B-6B94D0C338AC}">
    <text>-김희경*3</text>
  </threadedComment>
  <threadedComment ref="AG10" dT="2025-08-29T15:37:25.33" personId="{2088F17F-74E5-F44D-8FBB-FEA1C486048F}" id="{80BDF1E3-DDE1-B841-9E11-1604927025E2}">
    <text>신한은행 출처를 모름</text>
  </threadedComment>
  <threadedComment ref="AG11" dT="2025-08-29T15:13:40.48" personId="{2088F17F-74E5-F44D-8FBB-FEA1C486048F}" id="{1DD13ABB-36A4-D244-B18C-A4F39F848D33}">
    <text>이자</text>
  </threadedComment>
  <threadedComment ref="AG11" dT="2025-08-29T16:02:28.15" personId="{2088F17F-74E5-F44D-8FBB-FEA1C486048F}" id="{E61DD621-867B-2942-82EF-48C33C8FE2EC}" parentId="{1DD13ABB-36A4-D244-B18C-A4F39F848D33}">
    <text>관리비환급</text>
  </threadedComment>
  <threadedComment ref="BH11" dT="2025-08-29T17:48:58.41" personId="{2088F17F-74E5-F44D-8FBB-FEA1C486048F}" id="{6D43623B-40FD-4D4A-9F01-44AC7B70B285}">
    <text xml:space="preserve">이자 및 SH우대환급
</text>
  </threadedComment>
  <threadedComment ref="AF12" dT="2025-08-29T16:15:38.40" personId="{2088F17F-74E5-F44D-8FBB-FEA1C486048F}" id="{F8DCCE91-B81B-1C43-BC3A-375F77CE86B0}">
    <text>워릭프랭클린 6085000(본사?)</text>
  </threadedComment>
  <threadedComment ref="AG12" dT="2025-08-29T16:13:59.04" personId="{2088F17F-74E5-F44D-8FBB-FEA1C486048F}" id="{C1572A42-3F91-5A46-B8DF-9CCA39E9B2B9}">
    <text>0422 잘못옴?</text>
  </threadedComment>
  <threadedComment ref="AY12" dT="2025-09-22T01:21:57.34" personId="{2088F17F-74E5-F44D-8FBB-FEA1C486048F}" id="{CF9F3226-0FE2-564D-A4A9-7F2784F3C46A}">
    <text>김연송 16만원</text>
  </threadedComment>
  <threadedComment ref="BC12" dT="2025-08-29T17:53:33.28" personId="{2088F17F-74E5-F44D-8FBB-FEA1C486048F}" id="{ED67CD47-C12A-874E-AB1D-359CEFA17367}">
    <text>김소영</text>
  </threadedComment>
  <threadedComment ref="BC12" dT="2025-08-29T17:56:26.49" personId="{2088F17F-74E5-F44D-8FBB-FEA1C486048F}" id="{6CBE80FB-3B46-EC43-9723-C0F33B79983E}" parentId="{ED67CD47-C12A-874E-AB1D-359CEFA17367}">
    <text>안병규 19000 + 28800</text>
  </threadedComment>
  <threadedComment ref="BL12" dT="2025-08-29T17:56:53.10" personId="{2088F17F-74E5-F44D-8FBB-FEA1C486048F}" id="{43186F23-93D1-C943-830D-71C4CB21528E}">
    <text>법인이 내야할돈</text>
  </threadedComment>
  <threadedComment ref="AF13" dT="2025-08-29T16:21:07.89" personId="{2088F17F-74E5-F44D-8FBB-FEA1C486048F}" id="{6517B263-D802-1147-9B1B-A335C469572D}">
    <text>신한은행 900</text>
  </threadedComment>
  <threadedComment ref="BR13" dT="2025-08-29T18:03:49.75" personId="{2088F17F-74E5-F44D-8FBB-FEA1C486048F}" id="{043E8456-734D-744A-B43C-5652517C0775}">
    <text>56950원 법인이 내야함</text>
  </threadedComment>
  <threadedComment ref="BR13" dT="2025-08-29T18:05:03.73" personId="{2088F17F-74E5-F44D-8FBB-FEA1C486048F}" id="{F9498371-1D9D-3E4D-A4AE-ED1026B335FA}" parentId="{043E8456-734D-744A-B43C-5652517C0775}">
    <text>110250</text>
  </threadedComment>
  <threadedComment ref="BR13" dT="2025-08-29T18:06:13.10" personId="{2088F17F-74E5-F44D-8FBB-FEA1C486048F}" id="{2DAA9090-3816-C541-8419-9171ED529881}" parentId="{043E8456-734D-744A-B43C-5652517C0775}">
    <text>프린터 100,000 305,000</text>
  </threadedComment>
  <threadedComment ref="AG14" dT="2025-08-29T16:25:49.51" personId="{2088F17F-74E5-F44D-8FBB-FEA1C486048F}" id="{C39A13E5-D41C-894D-9636-D3092126B91C}">
    <text>이자</text>
  </threadedComment>
  <threadedComment ref="BH14" dT="2025-08-29T18:20:12.51" personId="{2088F17F-74E5-F44D-8FBB-FEA1C486048F}" id="{87B111FE-DA8A-7948-BF16-5D2E3FE687D2}">
    <text>이자</text>
  </threadedComment>
  <threadedComment ref="AS15" dT="2025-08-29T16:38:19.08" personId="{2088F17F-74E5-F44D-8FBB-FEA1C486048F}" id="{6427A08C-1FC2-154E-8768-C05906E4F1C2}">
    <text>개인사업자부담</text>
  </threadedComment>
  <threadedComment ref="BR15" dT="2025-08-29T18:25:28.18" personId="{2088F17F-74E5-F44D-8FBB-FEA1C486048F}" id="{0534C49A-1C5C-CC40-BDE1-7F6FA712CDE2}">
    <text>하복</text>
  </threadedComment>
  <threadedComment ref="AA16" dT="2025-08-29T16:42:30.61" personId="{2088F17F-74E5-F44D-8FBB-FEA1C486048F}" id="{BADDD6D1-FB9B-4043-9D36-69EA9C3A457A}">
    <text>김소영</text>
  </threadedComment>
  <threadedComment ref="AA16" dT="2025-08-29T17:00:43.90" personId="{2088F17F-74E5-F44D-8FBB-FEA1C486048F}" id="{86EA4CE6-6F05-D641-8B25-06E5D87CD504}" parentId="{BADDD6D1-FB9B-4043-9D36-69EA9C3A457A}">
    <text>안병규 4천모자라게 넣음</text>
  </threadedComment>
  <threadedComment ref="AG16" dT="2025-08-29T15:07:08.72" personId="{2088F17F-74E5-F44D-8FBB-FEA1C486048F}" id="{BCCBDB0C-2A5C-F14E-8C36-2A365A443FDF}">
    <text>앗빙수 기타소득</text>
  </threadedComment>
  <threadedComment ref="AG16" dT="2025-08-29T15:13:57.15" personId="{2088F17F-74E5-F44D-8FBB-FEA1C486048F}" id="{42A987C1-8F1E-B249-AD84-2E010CB61583}" parentId="{BCCBDB0C-2A5C-F14E-8C36-2A365A443FDF}">
    <text>관리비정산</text>
  </threadedComment>
  <threadedComment ref="BH17" dT="2025-08-29T18:48:51.74" personId="{2088F17F-74E5-F44D-8FBB-FEA1C486048F}" id="{582348FC-B84B-9848-B28F-5791AE5CA795}">
    <text>카드 환불</text>
  </threadedComment>
  <threadedComment ref="BH17" dT="2025-08-29T18:49:08.24" personId="{2088F17F-74E5-F44D-8FBB-FEA1C486048F}" id="{E2A1C449-87E9-DE4D-983E-2CA7E09D4A77}" parentId="{582348FC-B84B-9848-B28F-5791AE5CA795}">
    <text>이자</text>
  </threadedComment>
  <threadedComment ref="AA18" dT="2025-08-29T17:01:01.28" personId="{2088F17F-74E5-F44D-8FBB-FEA1C486048F}" id="{B095131F-B64A-754E-A9BC-EC9055B51626}">
    <text>4천모자라던거 2천넣음</text>
  </threadedComment>
  <threadedComment ref="AA18" dT="2025-08-29T17:02:35.41" personId="{2088F17F-74E5-F44D-8FBB-FEA1C486048F}" id="{AFE123B3-3FF8-7F42-A6CE-C9968D997175}" parentId="{B095131F-B64A-754E-A9BC-EC9055B51626}">
    <text>2천모자라던거 5백넣음 = 1.5천</text>
  </threadedComment>
  <threadedComment ref="AG18" dT="2025-08-29T17:01:48.34" personId="{2088F17F-74E5-F44D-8FBB-FEA1C486048F}" id="{777B35E5-F6A5-5644-B255-D558CD40AB52}">
    <text>청년도약장려금</text>
  </threadedComment>
  <threadedComment ref="AG19" dT="2025-08-29T17:29:06.17" personId="{2088F17F-74E5-F44D-8FBB-FEA1C486048F}" id="{6B2FA69F-0631-424D-A86D-B0664F08F49F}">
    <text>이자</text>
  </threadedComment>
  <threadedComment ref="AA20" dT="2025-08-29T17:23:10.34" personId="{2088F17F-74E5-F44D-8FBB-FEA1C486048F}" id="{655181B7-551B-CB4B-8764-6666CA29B234}">
    <text>돈 마저 넣음</text>
  </threadedComment>
  <threadedComment ref="AG20" dT="2025-08-29T15:22:49.36" personId="{2088F17F-74E5-F44D-8FBB-FEA1C486048F}" id="{EB41F9F4-4D4A-6940-B504-DABE272C78AA}">
    <text>이자</text>
  </threadedComment>
  <threadedComment ref="BH20" dT="2025-08-29T18:36:28.06" personId="{2088F17F-74E5-F44D-8FBB-FEA1C486048F}" id="{8634A33D-DB85-1F48-8D62-2A0B1CD719E3}">
    <text>이자</text>
  </threadedComment>
  <threadedComment ref="BR20" dT="2025-08-29T18:37:26.62" personId="{2088F17F-74E5-F44D-8FBB-FEA1C486048F}" id="{A0FB5430-1B01-A248-B9AA-336C52DC8144}">
    <text>티비설치 4만</text>
  </threadedComment>
  <threadedComment ref="BR20" dT="2025-08-29T18:38:20.28" personId="{2088F17F-74E5-F44D-8FBB-FEA1C486048F}" id="{E7569911-783E-1A42-B769-9993A48A1011}" parentId="{A0FB5430-1B01-A248-B9AA-336C52DC8144}">
    <text>헤더 침대 배송 6만</text>
  </threadedComment>
  <threadedComment ref="AG21" dT="2025-08-30T13:03:21.09" personId="{2088F17F-74E5-F44D-8FBB-FEA1C486048F}" id="{B6501974-8F13-7F42-AAAA-9BC13EE6EB75}">
    <text>청년도약장려금</text>
  </threadedComment>
  <threadedComment ref="AN23" dT="2025-08-30T14:19:40.50" personId="{2088F17F-74E5-F44D-8FBB-FEA1C486048F}" id="{93773CDA-9240-3C43-966B-4502AD66A4B9}">
    <text>자스민 퇴직금</text>
  </threadedComment>
  <threadedComment ref="BH23" dT="2025-08-30T16:15:42.63" personId="{2088F17F-74E5-F44D-8FBB-FEA1C486048F}" id="{0220B67D-35F6-3945-A7A4-381D53BE04CD}">
    <text>이자 + 신한카드 환불</text>
  </threadedComment>
  <threadedComment ref="AG24" dT="2025-08-30T13:55:47.16" personId="{2088F17F-74E5-F44D-8FBB-FEA1C486048F}" id="{FAB815FA-A7DD-424C-B2DE-4927EFE99C16}">
    <text>신보 보증 환급</text>
  </threadedComment>
  <threadedComment ref="BH24" dT="2025-08-30T16:16:56.79" personId="{2088F17F-74E5-F44D-8FBB-FEA1C486048F}" id="{1CB333D2-D642-7346-8967-8B7E2A60DFE2}">
    <text>신한카드 캐시백</text>
  </threadedComment>
  <threadedComment ref="BH24" dT="2025-08-30T16:17:32.97" personId="{2088F17F-74E5-F44D-8FBB-FEA1C486048F}" id="{9FAF91A9-CB75-7D41-A532-964D46D96D92}" parentId="{1CB333D2-D642-7346-8967-8B7E2A60DFE2}">
    <text>보증료 환급</text>
  </threadedComment>
  <threadedComment ref="AN25" dT="2025-08-30T14:19:26.10" personId="{2088F17F-74E5-F44D-8FBB-FEA1C486048F}" id="{306BE2F1-E246-0D4A-84E8-878362AEEEB7}">
    <text>정혜민 퇴직위로금</text>
  </threadedComment>
  <threadedComment ref="AJ26" dT="2025-08-30T14:35:03.16" personId="{2088F17F-74E5-F44D-8FBB-FEA1C486048F}" id="{9F980799-7A9B-AD4B-BD7F-8B8291370A7F}">
    <text>에어컨</text>
  </threadedComment>
  <threadedComment ref="AY27" dT="2025-08-30T15:08:39.44" personId="{2088F17F-74E5-F44D-8FBB-FEA1C486048F}" id="{834FAFCF-C6B7-9543-A0E7-BD685CC36F84}">
    <text>프린트 5개월 1,925,000</text>
  </threadedComment>
  <threadedComment ref="BN31" dT="2025-08-30T16:43:35.31" personId="{2088F17F-74E5-F44D-8FBB-FEA1C486048F}" id="{D5F3AC6E-2EBA-104A-A93C-252090FBA12A}">
    <text>446050 가이디드 리딩 법인꺼</text>
  </threadedComment>
  <threadedComment ref="BR31" dT="2025-08-30T16:44:16.74" personId="{2088F17F-74E5-F44D-8FBB-FEA1C486048F}" id="{15B9CA3D-6782-C845-8041-0C3493FB6183}">
    <text>김민설 병원비</text>
  </threadedComment>
  <threadedComment ref="AJ32" dT="2025-08-30T15:51:46.53" personId="{2088F17F-74E5-F44D-8FBB-FEA1C486048F}" id="{18C50115-0D71-E149-A74C-81BA331B4604}">
    <text>에어컨</text>
  </threadedComment>
  <threadedComment ref="BJ32" dT="2025-08-30T16:46:15.57" personId="{2088F17F-74E5-F44D-8FBB-FEA1C486048F}" id="{2DCD4715-96A9-074E-9A32-D5B004BE2D12}">
    <text>냉난방 법인꺼</text>
  </threadedComment>
  <threadedComment ref="AN35" dT="2025-09-02T11:32:18.38" personId="{2088F17F-74E5-F44D-8FBB-FEA1C486048F}" id="{0714A2B9-4B4F-2B47-90C0-AE9808D97C0D}">
    <text>이보람 퇴직금 2,656,840</text>
  </threadedComment>
  <threadedComment ref="AN35" dT="2025-09-02T11:32:24.38" personId="{2088F17F-74E5-F44D-8FBB-FEA1C486048F}" id="{55671369-2730-3846-92E5-71D0E593625F}" parentId="{0714A2B9-4B4F-2B47-90C0-AE9808D97C0D}">
    <text>헤더 퇴직금 260</text>
  </threadedComment>
  <threadedComment ref="AN35" dT="2025-09-02T11:32:32.38" personId="{2088F17F-74E5-F44D-8FBB-FEA1C486048F}" id="{0D20C960-F1BD-0B47-AAB0-7D84EEFE43DC}" parentId="{0714A2B9-4B4F-2B47-90C0-AE9808D97C0D}">
    <text>에이시아 퇴직금 2,575,360</text>
  </threadedComment>
  <threadedComment ref="AN35" dT="2025-09-02T11:32:44.52" personId="{2088F17F-74E5-F44D-8FBB-FEA1C486048F}" id="{06E68AFC-FB0F-A748-9F90-EA1B43B9474B}" parentId="{0714A2B9-4B4F-2B47-90C0-AE9808D97C0D}">
    <text>벤자민 퇴직금 5,194,720</text>
  </threadedComment>
  <threadedComment ref="BL35" dT="2025-08-30T19:24:39.91" personId="{2088F17F-74E5-F44D-8FBB-FEA1C486048F}" id="{1F9C1C6B-BB69-C742-BE7B-68A9C05B71C7}">
    <text>155,960 토리 법인꺼</text>
  </threadedComment>
  <threadedComment ref="BL35" dT="2025-08-30T19:24:49.06" personId="{2088F17F-74E5-F44D-8FBB-FEA1C486048F}" id="{D0A5C87C-49BD-4842-86A3-8C1E440202B6}" parentId="{1F9C1C6B-BB69-C742-BE7B-68A9C05B71C7}">
    <text>483,500 토리 법인꺼</text>
  </threadedComment>
  <threadedComment ref="BL35" dT="2025-08-30T19:24:57.42" personId="{2088F17F-74E5-F44D-8FBB-FEA1C486048F}" id="{2DB1A677-B7B8-B048-BF02-41A501259B31}" parentId="{1F9C1C6B-BB69-C742-BE7B-68A9C05B71C7}">
    <text>224,374 포샤 법인꺼</text>
  </threadedComment>
  <threadedComment ref="AN36" dT="2025-09-02T11:29:26.89" personId="{2088F17F-74E5-F44D-8FBB-FEA1C486048F}" id="{9B3E2667-7804-6C43-9F59-4449D612E5E5}">
    <text>김예은 퇴직금 4,675,616</text>
  </threadedComment>
  <threadedComment ref="AN36" dT="2025-09-02T11:29:39.21" personId="{2088F17F-74E5-F44D-8FBB-FEA1C486048F}" id="{733BFDC7-6AF0-414C-975E-497AB4AE3401}" parentId="{9B3E2667-7804-6C43-9F59-4449D612E5E5}">
    <text>김예은 잔여 연차 1,258,840</text>
  </threadedComment>
  <threadedComment ref="AN36" dT="2025-09-02T11:30:31.85" personId="{2088F17F-74E5-F44D-8FBB-FEA1C486048F}" id="{2942761D-76AE-354A-8686-52CF70C98DC7}" parentId="{9B3E2667-7804-6C43-9F59-4449D612E5E5}">
    <text>한유진 퇴직금 3,198,470</text>
  </threadedComment>
  <threadedComment ref="BL36" dT="2025-08-30T19:29:57.01" personId="{2088F17F-74E5-F44D-8FBB-FEA1C486048F}" id="{82FD747E-E2CB-A943-A9F8-7FA14085F9FB}">
    <text>토리</text>
  </threadedComment>
  <threadedComment ref="BL36" dT="2025-08-30T19:30:12.97" personId="{2088F17F-74E5-F44D-8FBB-FEA1C486048F}" id="{DD69F6D5-9044-5148-AAB9-95BF29EC8D18}" parentId="{82FD747E-E2CB-A943-A9F8-7FA14085F9FB}">
    <text>마야</text>
  </threadedComment>
  <threadedComment ref="BL36" dT="2025-08-30T19:30:25.34" personId="{2088F17F-74E5-F44D-8FBB-FEA1C486048F}" id="{2547F61F-9827-3A40-8C46-17981FF7A344}" parentId="{82FD747E-E2CB-A943-A9F8-7FA14085F9FB}">
    <text>조연우</text>
  </threadedComment>
  <threadedComment ref="AJ37" dT="2025-08-30T18:09:55.16" personId="{2088F17F-74E5-F44D-8FBB-FEA1C486048F}" id="{5D690A74-5AAC-6745-94CF-5FC2F65030C9}">
    <text>임차지 도배</text>
  </threadedComment>
  <threadedComment ref="BL37" dT="2025-08-30T19:39:23.78" personId="{2088F17F-74E5-F44D-8FBB-FEA1C486048F}" id="{21E754EE-2A54-2F44-92E0-9C5C19EF46E1}">
    <text>조연우</text>
  </threadedComment>
  <threadedComment ref="BL37" dT="2025-08-30T19:39:40.68" personId="{2088F17F-74E5-F44D-8FBB-FEA1C486048F}" id="{B5C5B149-73B8-4545-9F5F-50C7F1476F60}" parentId="{21E754EE-2A54-2F44-92E0-9C5C19EF46E1}">
    <text>마야</text>
  </threadedComment>
  <threadedComment ref="AN38" dT="2025-08-30T18:25:21.71" personId="{2088F17F-74E5-F44D-8FBB-FEA1C486048F}" id="{D2BDA15D-DE6A-F740-ABC9-593DBA0F817C}">
    <text>Jevon 대출</text>
  </threadedComment>
  <threadedComment ref="BL38" dT="2025-08-30T19:44:54.87" personId="{2088F17F-74E5-F44D-8FBB-FEA1C486048F}" id="{C501B7FC-BDBC-8C4A-B82C-90096B2BC182}">
    <text>마야</text>
  </threadedComment>
  <threadedComment ref="BL38" dT="2025-08-30T19:45:41.78" personId="{2088F17F-74E5-F44D-8FBB-FEA1C486048F}" id="{F3F82348-6540-9949-ACD1-6836AE3162F8}" parentId="{C501B7FC-BDBC-8C4A-B82C-90096B2BC182}">
    <text>조연우</text>
  </threadedComment>
  <threadedComment ref="BM38" dT="2025-08-30T19:45:25.51" personId="{2088F17F-74E5-F44D-8FBB-FEA1C486048F}" id="{AF4BF46C-247A-264A-8AB8-CE3A145BCA32}">
    <text>33040 법인꺼</text>
  </threadedComment>
  <threadedComment ref="BN40" dT="2025-08-30T19:54:29.68" personId="{2088F17F-74E5-F44D-8FBB-FEA1C486048F}" id="{E4A9DB4A-9BB7-4D47-8562-A4A19239296D}">
    <text>1,669,150 SKPAY 체크카드결제 뭔지?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1" dT="2025-08-29T13:06:28.12" personId="{2088F17F-74E5-F44D-8FBB-FEA1C486048F}" id="{F238DA54-D652-4E2E-81B9-ECCB1141D100}">
    <text>금융인증서발급수수료 4,400</text>
  </threadedComment>
  <threadedComment ref="BO1" dT="2025-08-29T13:06:28.12" personId="{2088F17F-74E5-F44D-8FBB-FEA1C486048F}" id="{E211C6B0-C7FE-446A-A26A-CE549C6EDA85}">
    <text>금융인증서발급수수료 4,400</text>
  </threadedComment>
  <threadedComment ref="W2" dT="2025-08-29T13:07:26.15" personId="{2088F17F-74E5-F44D-8FBB-FEA1C486048F}" id="{2CD33EDA-7A9F-45E9-A5F8-22DF10F0AFDC}">
    <text>안병규</text>
  </threadedComment>
  <threadedComment ref="W3" dT="2025-08-29T13:17:50.80" personId="{2088F17F-74E5-F44D-8FBB-FEA1C486048F}" id="{4B1664A0-C9DC-4528-B8A9-292F4E7B4640}">
    <text>김명선 3000</text>
  </threadedComment>
  <threadedComment ref="W3" dT="2025-08-29T13:17:58.48" personId="{2088F17F-74E5-F44D-8FBB-FEA1C486048F}" id="{BB914345-0290-4FFB-8772-E954E38E29F9}" parentId="{4B1664A0-C9DC-4528-B8A9-292F4E7B4640}">
    <text>김경현 3000</text>
  </threadedComment>
  <threadedComment ref="W3" dT="2025-08-29T13:18:05.96" personId="{2088F17F-74E5-F44D-8FBB-FEA1C486048F}" id="{3D2D6160-FB4D-4A20-AB7E-73CC7100D1F0}" parentId="{4B1664A0-C9DC-4528-B8A9-292F4E7B4640}">
    <text>신선민 6000</text>
  </threadedComment>
  <threadedComment ref="W3" dT="2025-08-29T13:18:16.01" personId="{2088F17F-74E5-F44D-8FBB-FEA1C486048F}" id="{AB906C66-B04E-40A0-9882-26450AA8F5DA}" parentId="{4B1664A0-C9DC-4528-B8A9-292F4E7B4640}">
    <text>문철호 6000</text>
  </threadedComment>
  <threadedComment ref="W3" dT="2025-08-29T13:18:23.85" personId="{2088F17F-74E5-F44D-8FBB-FEA1C486048F}" id="{E8DB40FA-52E5-415E-A839-5575A115C42D}" parentId="{4B1664A0-C9DC-4528-B8A9-292F4E7B4640}">
    <text>김기현 12000</text>
  </threadedComment>
  <threadedComment ref="W3" dT="2025-08-29T13:18:33.52" personId="{2088F17F-74E5-F44D-8FBB-FEA1C486048F}" id="{714861C3-3AF3-4608-90AE-D862BB895763}" parentId="{4B1664A0-C9DC-4528-B8A9-292F4E7B4640}">
    <text>문현성 6000</text>
  </threadedComment>
  <threadedComment ref="W3" dT="2025-08-29T13:18:37.66" personId="{2088F17F-74E5-F44D-8FBB-FEA1C486048F}" id="{2C8D885B-2658-400C-92F6-B970E436D0D5}" parentId="{4B1664A0-C9DC-4528-B8A9-292F4E7B4640}">
    <text>최솔잎 6000</text>
  </threadedComment>
  <threadedComment ref="W3" dT="2025-08-29T13:18:56.64" personId="{2088F17F-74E5-F44D-8FBB-FEA1C486048F}" id="{ECEF65A0-8158-40D6-A58A-0E77D5583EEF}" parentId="{4B1664A0-C9DC-4528-B8A9-292F4E7B4640}">
    <text>김소영 6000.5</text>
  </threadedComment>
  <threadedComment ref="W3" dT="2025-08-29T13:19:02.37" personId="{2088F17F-74E5-F44D-8FBB-FEA1C486048F}" id="{DCBC3D64-BEA3-4C0F-9F02-7B1A8356FCBF}" parentId="{4B1664A0-C9DC-4528-B8A9-292F4E7B4640}">
    <text>안병규 6000</text>
  </threadedComment>
  <threadedComment ref="W3" dT="2025-08-29T13:20:04.31" personId="{2088F17F-74E5-F44D-8FBB-FEA1C486048F}" id="{FB00ED93-CF8E-444C-A083-F370BBD2E4D9}" parentId="{4B1664A0-C9DC-4528-B8A9-292F4E7B4640}">
    <text>류주영 6000</text>
  </threadedComment>
  <threadedComment ref="AE3" dT="2025-08-29T13:09:10.07" personId="{2088F17F-74E5-F44D-8FBB-FEA1C486048F}" id="{A69FFA88-1120-4E68-B44B-0BBB493AADB4}">
    <text>변호사 (계약서 작성) 5,500,000</text>
  </threadedComment>
  <threadedComment ref="AE3" dT="2025-08-29T13:09:37.21" personId="{2088F17F-74E5-F44D-8FBB-FEA1C486048F}" id="{7CE17888-07DF-4326-855C-23D3CC1AE47D}" parentId="{A69FFA88-1120-4E68-B44B-0BBB493AADB4}">
    <text>세무사 495,000</text>
  </threadedComment>
  <threadedComment ref="AE3" dT="2025-08-29T13:20:54.66" personId="{2088F17F-74E5-F44D-8FBB-FEA1C486048F}" id="{1E63CE87-969F-425D-BCB2-3695B7EC705E}" parentId="{A69FFA88-1120-4E68-B44B-0BBB493AADB4}">
    <text>0718 법무사 증자</text>
  </threadedComment>
  <threadedComment ref="AE3" dT="2025-08-29T13:21:09.16" personId="{2088F17F-74E5-F44D-8FBB-FEA1C486048F}" id="{598A6E5A-D272-49F4-85CD-1706017AC776}" parentId="{A69FFA88-1120-4E68-B44B-0BBB493AADB4}">
    <text>0720 세무기장 165000</text>
  </threadedComment>
  <threadedComment ref="AE3" dT="2025-08-29T13:23:04.92" personId="{2088F17F-74E5-F44D-8FBB-FEA1C486048F}" id="{584326A6-3ABA-4AB0-9284-26193D336632}" parentId="{A69FFA88-1120-4E68-B44B-0BBB493AADB4}">
    <text>0729 공인중개수수료</text>
  </threadedComment>
  <threadedComment ref="AF3" dT="2025-08-29T13:22:39.51" personId="{2088F17F-74E5-F44D-8FBB-FEA1C486048F}" id="{68AFE29B-A741-4A31-897E-B9768F4D71B5}">
    <text>1375000 두번나감 확인 필요</text>
  </threadedComment>
  <threadedComment ref="AU3" dT="2025-08-29T13:13:32.81" personId="{2088F17F-74E5-F44D-8FBB-FEA1C486048F}" id="{A4A03BAE-5B8A-45FC-9931-D1394C92475D}">
    <text>07.07 안병규 33,000,000 워릭 가맹비</text>
  </threadedComment>
  <threadedComment ref="AU3" dT="2025-08-29T13:13:42.64" personId="{2088F17F-74E5-F44D-8FBB-FEA1C486048F}" id="{602E60DA-C772-48F2-A9F2-449D6DB16264}" parentId="{A4A03BAE-5B8A-45FC-9931-D1394C92475D}">
    <text>0712 안병규 106,000</text>
  </threadedComment>
  <threadedComment ref="AU3" dT="2025-08-29T13:15:43.52" personId="{2088F17F-74E5-F44D-8FBB-FEA1C486048F}" id="{0A10BF30-5D69-4DD3-8C3B-1A0022079EA9}" parentId="{A4A03BAE-5B8A-45FC-9931-D1394C92475D}">
    <text>0704 안병규 189700</text>
  </threadedComment>
  <threadedComment ref="AU4" dT="2025-08-29T13:26:11.58" personId="{2088F17F-74E5-F44D-8FBB-FEA1C486048F}" id="{C26D4D8F-2532-4482-AC7C-B617BE60A141}">
    <text>0817 농협주식회사비에이</text>
  </threadedComment>
  <threadedComment ref="AU4" dT="2025-08-29T13:27:21.14" personId="{2088F17F-74E5-F44D-8FBB-FEA1C486048F}" id="{042D7681-F7B2-4468-A71C-C4B87379B7A1}" parentId="{C26D4D8F-2532-4482-AC7C-B617BE60A141}">
    <text>0830 안병규 25000</text>
  </threadedComment>
  <threadedComment ref="AE5" dT="2025-08-29T13:30:12.98" personId="{2088F17F-74E5-F44D-8FBB-FEA1C486048F}" id="{BF6C3A94-DEFD-4BE4-96F3-8C084083546F}">
    <text>0929 중개수수료 330,000</text>
  </threadedComment>
  <threadedComment ref="AF5" dT="2025-08-29T13:30:26.50" personId="{2088F17F-74E5-F44D-8FBB-FEA1C486048F}" id="{5DFA6350-26AE-4BF4-BA92-CD4DF9BE1730}">
    <text>냉장고</text>
  </threadedComment>
  <threadedComment ref="AU5" dT="2025-08-29T13:28:11.66" personId="{2088F17F-74E5-F44D-8FBB-FEA1C486048F}" id="{AE245741-97BA-43E3-9EB3-CF85AEA63291}">
    <text>0901 김동혁 500000</text>
  </threadedComment>
  <threadedComment ref="AF6" dT="2025-08-29T13:31:34.29" personId="{2088F17F-74E5-F44D-8FBB-FEA1C486048F}" id="{AFF18D9F-9D80-4DD9-8E70-65883B41E223}">
    <text>1003 김소영 사무실 가구 287500</text>
  </threadedComment>
  <threadedComment ref="AF6" dT="2025-08-29T13:31:45.66" personId="{2088F17F-74E5-F44D-8FBB-FEA1C486048F}" id="{A659C3A1-A070-40AC-B834-F33F941E0E41}" parentId="{AFF18D9F-9D80-4DD9-8E70-65883B41E223}">
    <text>1003 김소영 현관매트 15400</text>
  </threadedComment>
  <threadedComment ref="AF6" dT="2025-08-29T13:31:55.55" personId="{2088F17F-74E5-F44D-8FBB-FEA1C486048F}" id="{48083E34-4917-44EC-98A8-4B52CFD76464}" parentId="{AFF18D9F-9D80-4DD9-8E70-65883B41E223}">
    <text>1003 김소영 책장 318500</text>
  </threadedComment>
  <threadedComment ref="AF6" dT="2025-08-29T13:32:10.69" personId="{2088F17F-74E5-F44D-8FBB-FEA1C486048F}" id="{A5A75D7D-449A-48BC-8FF2-144D8B669564}" parentId="{AFF18D9F-9D80-4DD9-8E70-65883B41E223}">
    <text>1003 김소영 커피머신 90400</text>
  </threadedComment>
  <threadedComment ref="AF6" dT="2025-08-29T13:33:17.76" personId="{2088F17F-74E5-F44D-8FBB-FEA1C486048F}" id="{BEE56C13-38E5-4AF6-8612-5DE3D5DCE326}" parentId="{AFF18D9F-9D80-4DD9-8E70-65883B41E223}">
    <text>1004 마또 착수금 73,500,000</text>
  </threadedComment>
  <threadedComment ref="AF6" dT="2025-08-29T13:34:17.74" personId="{2088F17F-74E5-F44D-8FBB-FEA1C486048F}" id="{F5122B54-9766-43AA-A956-791DB586763C}" parentId="{AFF18D9F-9D80-4DD9-8E70-65883B41E223}">
    <text>1006 프린터 217500</text>
  </threadedComment>
  <threadedComment ref="AE7" dT="2025-08-29T13:44:39.13" personId="{2088F17F-74E5-F44D-8FBB-FEA1C486048F}" id="{6297AECD-CB0F-4B7D-A24B-5CFD458BF3BE}">
    <text>부동산 + 본점이전등기</text>
  </threadedComment>
  <threadedComment ref="AE7" dT="2025-08-29T13:47:13.82" personId="{2088F17F-74E5-F44D-8FBB-FEA1C486048F}" id="{30D7230D-586D-4540-929F-9CCCA136BF25}" parentId="{6297AECD-CB0F-4B7D-A24B-5CFD458BF3BE}">
    <text>법인설립비용</text>
  </threadedComment>
  <threadedComment ref="AE7" dT="2025-08-29T13:47:30.31" personId="{2088F17F-74E5-F44D-8FBB-FEA1C486048F}" id="{AFA961BF-A879-4442-A6FB-0D7AA65A1880}" parentId="{6297AECD-CB0F-4B7D-A24B-5CFD458BF3BE}">
    <text>모네 리쿠르팅 CHOEJENNIF</text>
  </threadedComment>
  <threadedComment ref="AC8" dT="2025-08-29T15:13:35.61" personId="{2088F17F-74E5-F44D-8FBB-FEA1C486048F}" id="{0C228C26-D41C-4433-A7C6-02A1B0084E47}">
    <text>이자</text>
  </threadedComment>
  <threadedComment ref="AE9" dT="2025-08-29T14:23:38.23" personId="{2088F17F-74E5-F44D-8FBB-FEA1C486048F}" id="{09FB5D96-0D96-4501-AC4D-2D18746AE90B}">
    <text>이사</text>
  </threadedComment>
  <threadedComment ref="W10" dT="2025-08-29T15:34:05.76" personId="{2088F17F-74E5-F44D-8FBB-FEA1C486048F}" id="{7FD6DA99-1C9C-42C8-85F6-02188DC47611}">
    <text>문현성 최솔잎 김희경 김희경 김희경 김경현 김명선</text>
  </threadedComment>
  <threadedComment ref="W10" dT="2025-08-29T15:35:07.42" personId="{2088F17F-74E5-F44D-8FBB-FEA1C486048F}" id="{A5E83947-3DCA-4590-B33A-DDE8B55F3CC7}" parentId="{7FD6DA99-1C9C-42C8-85F6-02188DC47611}">
    <text>-김희경*3</text>
  </threadedComment>
  <threadedComment ref="AC10" dT="2025-08-29T15:37:25.33" personId="{2088F17F-74E5-F44D-8FBB-FEA1C486048F}" id="{86227F63-9C02-4364-B660-DCBCE8280AE6}">
    <text>신한은행 출처를 모름</text>
  </threadedComment>
  <threadedComment ref="AC11" dT="2025-08-29T15:13:40.48" personId="{2088F17F-74E5-F44D-8FBB-FEA1C486048F}" id="{EC68268C-963B-44EC-8A58-70200434A52E}">
    <text>이자</text>
  </threadedComment>
  <threadedComment ref="AC11" dT="2025-08-29T16:02:28.15" personId="{2088F17F-74E5-F44D-8FBB-FEA1C486048F}" id="{79061EFA-DF54-46C0-BC4B-2A0DF90CCBA0}" parentId="{EC68268C-963B-44EC-8A58-70200434A52E}">
    <text>관리비환급</text>
  </threadedComment>
  <threadedComment ref="BE11" dT="2025-08-29T17:48:58.41" personId="{2088F17F-74E5-F44D-8FBB-FEA1C486048F}" id="{A584F660-BCF6-4FE1-90AC-85D9A9EF8417}">
    <text xml:space="preserve">이자 및 SH우대환급
</text>
  </threadedComment>
  <threadedComment ref="AC12" dT="2025-08-29T16:13:59.04" personId="{2088F17F-74E5-F44D-8FBB-FEA1C486048F}" id="{3F664E56-515C-4341-BFEB-54BF8DAC4DAF}">
    <text>0422 잘못옴?</text>
  </threadedComment>
  <threadedComment ref="AU12" dT="2025-08-29T16:10:05.32" personId="{2088F17F-74E5-F44D-8FBB-FEA1C486048F}" id="{6E608908-FD28-47E9-B4BA-5DA3E9963C85}">
    <text>김연송</text>
  </threadedComment>
  <threadedComment ref="AZ12" dT="2025-08-29T17:53:33.28" personId="{2088F17F-74E5-F44D-8FBB-FEA1C486048F}" id="{95B4DDAA-9849-429B-BA11-C38A843A8767}">
    <text>김소영</text>
  </threadedComment>
  <threadedComment ref="AZ12" dT="2025-08-29T17:56:26.49" personId="{2088F17F-74E5-F44D-8FBB-FEA1C486048F}" id="{621A734E-BC07-482D-BD87-08F27FD62176}" parentId="{95B4DDAA-9849-429B-BA11-C38A843A8767}">
    <text>안병규 19000 + 28800</text>
  </threadedComment>
  <threadedComment ref="BI12" dT="2025-08-29T17:56:53.10" personId="{2088F17F-74E5-F44D-8FBB-FEA1C486048F}" id="{4227256E-33B6-4889-B988-B5CFE7498509}">
    <text>법인이 내야할돈</text>
  </threadedComment>
  <threadedComment ref="AB13" dT="2025-08-29T16:21:07.89" personId="{2088F17F-74E5-F44D-8FBB-FEA1C486048F}" id="{19F20929-F6A1-415F-B242-269DFF94B1B8}">
    <text>신한은행 900</text>
  </threadedComment>
  <threadedComment ref="BO13" dT="2025-08-29T18:03:49.75" personId="{2088F17F-74E5-F44D-8FBB-FEA1C486048F}" id="{4C4192C4-F93A-4783-A3EA-A2398C499B5C}">
    <text>56950원 법인이 내야함</text>
  </threadedComment>
  <threadedComment ref="BO13" dT="2025-08-29T18:05:03.73" personId="{2088F17F-74E5-F44D-8FBB-FEA1C486048F}" id="{FD5225D3-2ECB-4C55-9869-63B8673A7CAD}" parentId="{4C4192C4-F93A-4783-A3EA-A2398C499B5C}">
    <text>110250</text>
  </threadedComment>
  <threadedComment ref="BO13" dT="2025-08-29T18:06:13.10" personId="{2088F17F-74E5-F44D-8FBB-FEA1C486048F}" id="{C8CC2C3D-49BD-4565-AFDC-08F48FC4C552}" parentId="{4C4192C4-F93A-4783-A3EA-A2398C499B5C}">
    <text>프린터 100,000 305,000</text>
  </threadedComment>
  <threadedComment ref="AC14" dT="2025-08-29T16:25:49.51" personId="{2088F17F-74E5-F44D-8FBB-FEA1C486048F}" id="{14F1E580-7CDB-4A0B-BD66-CF5A1C40A7A6}">
    <text>이자</text>
  </threadedComment>
  <threadedComment ref="BE14" dT="2025-08-29T18:20:12.51" personId="{2088F17F-74E5-F44D-8FBB-FEA1C486048F}" id="{341359FC-62D2-45E2-A1C3-1138D4F8EF3C}">
    <text>이자</text>
  </threadedComment>
  <threadedComment ref="AO15" dT="2025-08-29T16:38:19.08" personId="{2088F17F-74E5-F44D-8FBB-FEA1C486048F}" id="{0A10DF92-6AC0-476B-9BE3-1A6232BD12AA}">
    <text>개인사업자부담</text>
  </threadedComment>
  <threadedComment ref="BO15" dT="2025-08-29T18:25:28.18" personId="{2088F17F-74E5-F44D-8FBB-FEA1C486048F}" id="{A4BE3DDB-2792-4898-911A-B94D2A8ED6EA}">
    <text>하복</text>
  </threadedComment>
  <threadedComment ref="W16" dT="2025-08-29T16:42:30.61" personId="{2088F17F-74E5-F44D-8FBB-FEA1C486048F}" id="{9D3E1A02-33AA-4FAC-B0DB-1FEA8E3BF8CD}">
    <text>김소영</text>
  </threadedComment>
  <threadedComment ref="W16" dT="2025-08-29T17:00:43.90" personId="{2088F17F-74E5-F44D-8FBB-FEA1C486048F}" id="{A0C56282-B62E-4D76-B48E-3B02E0CA4F44}" parentId="{9D3E1A02-33AA-4FAC-B0DB-1FEA8E3BF8CD}">
    <text>안병규 4천모자라게 넣음</text>
  </threadedComment>
  <threadedComment ref="AC16" dT="2025-08-29T15:07:08.72" personId="{2088F17F-74E5-F44D-8FBB-FEA1C486048F}" id="{BAD6A922-0D71-4445-9C0A-E1DC3F6E45ED}">
    <text>앗빙수 기타소득</text>
  </threadedComment>
  <threadedComment ref="AC16" dT="2025-08-29T15:13:57.15" personId="{2088F17F-74E5-F44D-8FBB-FEA1C486048F}" id="{6833EC43-CA4C-4F10-BC86-65F26F37D8B8}" parentId="{BAD6A922-0D71-4445-9C0A-E1DC3F6E45ED}">
    <text>관리비정산</text>
  </threadedComment>
  <threadedComment ref="BE17" dT="2025-08-29T18:48:51.74" personId="{2088F17F-74E5-F44D-8FBB-FEA1C486048F}" id="{AC57AFB7-A478-400A-8A2D-2D486679124F}">
    <text>카드 환불</text>
  </threadedComment>
  <threadedComment ref="BE17" dT="2025-08-29T18:49:08.24" personId="{2088F17F-74E5-F44D-8FBB-FEA1C486048F}" id="{F3D46B72-44C8-4CFB-AAFE-724909C6F4E5}" parentId="{AC57AFB7-A478-400A-8A2D-2D486679124F}">
    <text>이자</text>
  </threadedComment>
  <threadedComment ref="W18" dT="2025-08-29T17:01:01.28" personId="{2088F17F-74E5-F44D-8FBB-FEA1C486048F}" id="{F26907C1-9407-48C0-9D71-5D390D7159B1}">
    <text>4천모자라던거 2천넣음</text>
  </threadedComment>
  <threadedComment ref="W18" dT="2025-08-29T17:02:35.41" personId="{2088F17F-74E5-F44D-8FBB-FEA1C486048F}" id="{D1EA2298-5ABA-4A8F-827F-D0D84947BB83}" parentId="{F26907C1-9407-48C0-9D71-5D390D7159B1}">
    <text>2천모자라던거 5백넣음 = 1.5천</text>
  </threadedComment>
  <threadedComment ref="AC18" dT="2025-08-29T17:01:48.34" personId="{2088F17F-74E5-F44D-8FBB-FEA1C486048F}" id="{41756B55-326F-427F-AE16-073424CED83D}">
    <text>청년도약장려금</text>
  </threadedComment>
  <threadedComment ref="AC19" dT="2025-08-29T17:29:06.17" personId="{2088F17F-74E5-F44D-8FBB-FEA1C486048F}" id="{2017257C-BCAA-429F-BD05-8D7A76DD3D18}">
    <text>이자</text>
  </threadedComment>
  <threadedComment ref="W20" dT="2025-08-29T17:23:10.34" personId="{2088F17F-74E5-F44D-8FBB-FEA1C486048F}" id="{A87828A5-2099-4443-AD41-D23DDF7CB24E}">
    <text>돈 마저 넣음</text>
  </threadedComment>
  <threadedComment ref="AC20" dT="2025-08-29T15:22:49.36" personId="{2088F17F-74E5-F44D-8FBB-FEA1C486048F}" id="{611B1F09-B546-4CD1-939B-877BDE8CFD6D}">
    <text>이자</text>
  </threadedComment>
  <threadedComment ref="BE20" dT="2025-08-29T18:36:28.06" personId="{2088F17F-74E5-F44D-8FBB-FEA1C486048F}" id="{84E96F43-3642-4B7B-A3AA-7ED6A3418A4D}">
    <text>이자</text>
  </threadedComment>
  <threadedComment ref="BO20" dT="2025-08-29T18:37:26.62" personId="{2088F17F-74E5-F44D-8FBB-FEA1C486048F}" id="{C3DA6986-8E62-409A-A268-D4E5FB6DB5BF}">
    <text>티비설치 4만</text>
  </threadedComment>
  <threadedComment ref="BO20" dT="2025-08-29T18:38:20.28" personId="{2088F17F-74E5-F44D-8FBB-FEA1C486048F}" id="{0BF6A066-2F60-4A2B-A273-364DE6E3E448}" parentId="{C3DA6986-8E62-409A-A268-D4E5FB6DB5BF}">
    <text>헤더 침대 배송 6만</text>
  </threadedComment>
  <threadedComment ref="AC21" dT="2025-08-30T13:03:21.09" personId="{2088F17F-74E5-F44D-8FBB-FEA1C486048F}" id="{A5A8879E-823E-4061-BCBF-2DF85032197C}">
    <text>청년도약장려금</text>
  </threadedComment>
  <threadedComment ref="AJ23" dT="2025-08-30T14:19:40.50" personId="{2088F17F-74E5-F44D-8FBB-FEA1C486048F}" id="{C4E4ACFE-AE4E-4694-BACB-587454F45280}">
    <text>자스민 퇴직금</text>
  </threadedComment>
  <threadedComment ref="BE23" dT="2025-08-30T16:15:42.63" personId="{2088F17F-74E5-F44D-8FBB-FEA1C486048F}" id="{88D35DB6-8782-49AF-9F34-C2A950086CB5}">
    <text>이자 + 신한카드 환불</text>
  </threadedComment>
  <threadedComment ref="AC24" dT="2025-08-30T13:55:47.16" personId="{2088F17F-74E5-F44D-8FBB-FEA1C486048F}" id="{8A654465-7FF5-4DDA-BCF4-B66B60EC25E9}">
    <text>신보 보증 환급</text>
  </threadedComment>
  <threadedComment ref="BE24" dT="2025-08-30T16:16:56.79" personId="{2088F17F-74E5-F44D-8FBB-FEA1C486048F}" id="{B7101B4C-8253-432A-A0F0-E347DCC2A4F6}">
    <text>신한카드 캐시백</text>
  </threadedComment>
  <threadedComment ref="BE24" dT="2025-08-30T16:17:32.97" personId="{2088F17F-74E5-F44D-8FBB-FEA1C486048F}" id="{95F1A41F-5BF3-4500-9870-6AA64A0721BE}" parentId="{B7101B4C-8253-432A-A0F0-E347DCC2A4F6}">
    <text>보증료 환급</text>
  </threadedComment>
  <threadedComment ref="AJ25" dT="2025-08-30T14:19:26.10" personId="{2088F17F-74E5-F44D-8FBB-FEA1C486048F}" id="{3CA68B00-4B51-44DA-AC88-D0D3CB3D54BE}">
    <text>정혜민 퇴직위로금</text>
  </threadedComment>
  <threadedComment ref="AF26" dT="2025-08-30T14:35:03.16" personId="{2088F17F-74E5-F44D-8FBB-FEA1C486048F}" id="{DFBD6CEA-AD2A-4F28-A0F0-69F86BEF5A93}">
    <text>에어컨</text>
  </threadedComment>
  <threadedComment ref="AV27" dT="2025-08-30T15:08:39.44" personId="{2088F17F-74E5-F44D-8FBB-FEA1C486048F}" id="{9571C051-EEAC-412E-8463-72CDAD4468D6}">
    <text>프린트 5개월 1,925,000</text>
  </threadedComment>
  <threadedComment ref="BK31" dT="2025-08-30T16:43:35.31" personId="{2088F17F-74E5-F44D-8FBB-FEA1C486048F}" id="{F572B02A-3D65-4C20-9ED8-072063CD4598}">
    <text>446050 가이디드 리딩 법인꺼</text>
  </threadedComment>
  <threadedComment ref="BO31" dT="2025-08-30T16:44:16.74" personId="{2088F17F-74E5-F44D-8FBB-FEA1C486048F}" id="{257278B0-8F6D-41F1-A670-3FA5D6D6AE6E}">
    <text>김민설 병원비</text>
  </threadedComment>
  <threadedComment ref="AF32" dT="2025-08-30T15:51:46.53" personId="{2088F17F-74E5-F44D-8FBB-FEA1C486048F}" id="{DBE36B58-4519-4E43-B6FB-923FBB023DBD}">
    <text>에어컨</text>
  </threadedComment>
  <threadedComment ref="BG32" dT="2025-08-30T16:46:15.57" personId="{2088F17F-74E5-F44D-8FBB-FEA1C486048F}" id="{C13188FD-6F12-4E1A-8D50-A498FFC6ADB0}">
    <text>냉난방 법인꺼</text>
  </threadedComment>
  <threadedComment ref="AJ35" dT="2025-09-02T11:32:18.38" personId="{2088F17F-74E5-F44D-8FBB-FEA1C486048F}" id="{B8927422-DC2D-574D-B3EA-A23A42896604}">
    <text>이보람 퇴직금 2,656,840</text>
  </threadedComment>
  <threadedComment ref="AJ35" dT="2025-09-02T11:32:24.38" personId="{2088F17F-74E5-F44D-8FBB-FEA1C486048F}" id="{F7488471-C140-E34C-A804-01E054B2C1ED}" parentId="{B8927422-DC2D-574D-B3EA-A23A42896604}">
    <text>헤더 퇴직금 260</text>
  </threadedComment>
  <threadedComment ref="AJ35" dT="2025-09-02T11:32:32.38" personId="{2088F17F-74E5-F44D-8FBB-FEA1C486048F}" id="{0EE604BA-E99B-0D44-A563-B852A052551A}" parentId="{B8927422-DC2D-574D-B3EA-A23A42896604}">
    <text>에이시아 퇴직금 2,575,360</text>
  </threadedComment>
  <threadedComment ref="AJ35" dT="2025-09-02T11:32:44.52" personId="{2088F17F-74E5-F44D-8FBB-FEA1C486048F}" id="{12BB6626-9E91-8545-A43B-BBD198C4BFF8}" parentId="{B8927422-DC2D-574D-B3EA-A23A42896604}">
    <text>벤자민 퇴직금 5,194,720</text>
  </threadedComment>
  <threadedComment ref="BI35" dT="2025-08-30T19:24:39.91" personId="{2088F17F-74E5-F44D-8FBB-FEA1C486048F}" id="{66BEC7DB-D00D-4A63-B4DA-9ABCD97AB3E7}">
    <text>155,960 토리 법인꺼</text>
  </threadedComment>
  <threadedComment ref="BI35" dT="2025-08-30T19:24:49.06" personId="{2088F17F-74E5-F44D-8FBB-FEA1C486048F}" id="{2205C30B-DCBB-438F-B8F8-53269B245DF8}" parentId="{66BEC7DB-D00D-4A63-B4DA-9ABCD97AB3E7}">
    <text>483,500 토리 법인꺼</text>
  </threadedComment>
  <threadedComment ref="BI35" dT="2025-08-30T19:24:57.42" personId="{2088F17F-74E5-F44D-8FBB-FEA1C486048F}" id="{D37DEEE1-8523-4B91-B9AF-B7CB700309A9}" parentId="{66BEC7DB-D00D-4A63-B4DA-9ABCD97AB3E7}">
    <text>224,374 포샤 법인꺼</text>
  </threadedComment>
  <threadedComment ref="AJ36" dT="2025-09-02T11:29:26.89" personId="{2088F17F-74E5-F44D-8FBB-FEA1C486048F}" id="{FA7FF1B4-0079-2341-A2AB-36FF18060EDD}">
    <text>김예은 퇴직금 4,675,616</text>
  </threadedComment>
  <threadedComment ref="AJ36" dT="2025-09-02T11:29:39.21" personId="{2088F17F-74E5-F44D-8FBB-FEA1C486048F}" id="{92E476F8-C210-A245-A888-022614D6AC84}" parentId="{FA7FF1B4-0079-2341-A2AB-36FF18060EDD}">
    <text>김예은 잔여 연차 1,258,840</text>
  </threadedComment>
  <threadedComment ref="AJ36" dT="2025-09-02T11:30:31.85" personId="{2088F17F-74E5-F44D-8FBB-FEA1C486048F}" id="{4A46DD57-845B-FF40-B9C0-EB63866C1600}" parentId="{FA7FF1B4-0079-2341-A2AB-36FF18060EDD}">
    <text>한유진 퇴직금 3,198,470</text>
  </threadedComment>
  <threadedComment ref="BI36" dT="2025-08-30T19:29:57.01" personId="{2088F17F-74E5-F44D-8FBB-FEA1C486048F}" id="{56B2ABCF-AD1F-4D4B-8426-FE824A853073}">
    <text>토리</text>
  </threadedComment>
  <threadedComment ref="BI36" dT="2025-08-30T19:30:12.97" personId="{2088F17F-74E5-F44D-8FBB-FEA1C486048F}" id="{8B9372CF-AEC4-4CD6-A8F1-EEB9ADA317E4}" parentId="{56B2ABCF-AD1F-4D4B-8426-FE824A853073}">
    <text>마야</text>
  </threadedComment>
  <threadedComment ref="BI36" dT="2025-08-30T19:30:25.34" personId="{2088F17F-74E5-F44D-8FBB-FEA1C486048F}" id="{B81197F4-6899-455F-B8F3-F38F5B829288}" parentId="{56B2ABCF-AD1F-4D4B-8426-FE824A853073}">
    <text>조연우</text>
  </threadedComment>
  <threadedComment ref="AF37" dT="2025-08-30T18:09:55.16" personId="{2088F17F-74E5-F44D-8FBB-FEA1C486048F}" id="{2D18FB49-311E-4443-964C-17BD015662EB}">
    <text>임차지 도배</text>
  </threadedComment>
  <threadedComment ref="BI37" dT="2025-08-30T19:39:23.78" personId="{2088F17F-74E5-F44D-8FBB-FEA1C486048F}" id="{FADD0E06-A2B5-4F33-AB3B-787C49CF81C1}">
    <text>조연우</text>
  </threadedComment>
  <threadedComment ref="BI37" dT="2025-08-30T19:39:40.68" personId="{2088F17F-74E5-F44D-8FBB-FEA1C486048F}" id="{35529D18-B189-4326-B63E-C110A6066337}" parentId="{FADD0E06-A2B5-4F33-AB3B-787C49CF81C1}">
    <text>마야</text>
  </threadedComment>
  <threadedComment ref="AJ38" dT="2025-08-30T18:25:21.71" personId="{2088F17F-74E5-F44D-8FBB-FEA1C486048F}" id="{C0874F8B-58CA-4732-B14D-E44343CFC0DE}">
    <text>Jevon 대출</text>
  </threadedComment>
  <threadedComment ref="BI38" dT="2025-08-30T19:44:54.87" personId="{2088F17F-74E5-F44D-8FBB-FEA1C486048F}" id="{5CAC3F36-8904-448E-8C70-4DA34201A8D8}">
    <text>마야</text>
  </threadedComment>
  <threadedComment ref="BI38" dT="2025-08-30T19:45:41.78" personId="{2088F17F-74E5-F44D-8FBB-FEA1C486048F}" id="{147D2BFF-37A7-4EE7-A66F-5090D0DDA4BF}" parentId="{5CAC3F36-8904-448E-8C70-4DA34201A8D8}">
    <text>조연우</text>
  </threadedComment>
  <threadedComment ref="BJ38" dT="2025-08-30T19:45:25.51" personId="{2088F17F-74E5-F44D-8FBB-FEA1C486048F}" id="{A787F4B7-9DB4-4B3D-A3C9-1775846F007D}">
    <text>33040 법인꺼</text>
  </threadedComment>
  <threadedComment ref="BK40" dT="2025-08-30T19:54:29.68" personId="{2088F17F-74E5-F44D-8FBB-FEA1C486048F}" id="{5045F27F-1113-4D28-BF48-F312E096CF09}">
    <text>1,669,150 SKPAY 체크카드결제 뭔지?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L2" dT="2026-06-07T06:02:20.30" personId="{2088F17F-74E5-F44D-8FBB-FEA1C486048F}" id="{8C4C55AB-A9D1-6B42-8F07-549C1FA398B0}">
    <text>김은채 20</text>
  </threadedComment>
  <threadedComment ref="D5" dT="2026-01-31T15:07:25.28" personId="{2088F17F-74E5-F44D-8FBB-FEA1C486048F}" id="{C3C13FBF-C837-E74F-9246-1F23E6D389AB}">
    <text>효주 5</text>
  </threadedComment>
  <threadedComment ref="P5" dT="2026-01-31T15:07:25.28" personId="{2088F17F-74E5-F44D-8FBB-FEA1C486048F}" id="{003F33A5-2447-8B42-8941-904A0CD2AE41}">
    <text>효주 5</text>
  </threadedComment>
  <threadedComment ref="AN5" dT="2026-01-31T15:07:25.28" personId="{2088F17F-74E5-F44D-8FBB-FEA1C486048F}" id="{FB942D49-5E15-6842-9F92-AD7948E24899}">
    <text>효주 5</text>
  </threadedComment>
  <threadedComment ref="AZ5" dT="2026-01-31T15:07:25.28" personId="{2088F17F-74E5-F44D-8FBB-FEA1C486048F}" id="{AC55D192-B3C3-2E49-9721-079059BE0EFE}">
    <text>효주 5</text>
  </threadedComment>
  <threadedComment ref="BL5" dT="2026-01-31T15:07:25.28" personId="{2088F17F-74E5-F44D-8FBB-FEA1C486048F}" id="{4DAD38A4-457B-294A-9AC1-21EEA778A124}">
    <text>효주 5</text>
  </threadedComment>
  <threadedComment ref="D6" dT="2026-01-31T15:07:40.08" personId="{2088F17F-74E5-F44D-8FBB-FEA1C486048F}" id="{FF4BBE81-6782-B646-B63C-D0170B7079B0}">
    <text>은우 5 주아 5</text>
  </threadedComment>
  <threadedComment ref="P6" dT="2026-01-31T15:07:40.08" personId="{2088F17F-74E5-F44D-8FBB-FEA1C486048F}" id="{91CB61FD-5E28-BC43-AEAE-7EF2328D775F}">
    <text>은우 5 주아 5</text>
  </threadedComment>
  <threadedComment ref="AN6" dT="2026-01-31T15:07:40.08" personId="{2088F17F-74E5-F44D-8FBB-FEA1C486048F}" id="{CB3F12DF-753C-D04B-9F14-780259DB344B}">
    <text>은우 5 주아 5</text>
  </threadedComment>
  <threadedComment ref="AZ6" dT="2026-01-31T15:07:40.08" personId="{2088F17F-74E5-F44D-8FBB-FEA1C486048F}" id="{DAA52054-23BF-2544-BD1D-C77107796F46}">
    <text>은우 5 주아 5</text>
  </threadedComment>
  <threadedComment ref="AZ6" dT="2026-05-05T13:20:15.20" personId="{2088F17F-74E5-F44D-8FBB-FEA1C486048F}" id="{94735241-0D76-0D41-A54A-CF2B430DD979}" parentId="{DAA52054-23BF-2544-BD1D-C77107796F46}">
    <text>민하 20</text>
  </threadedComment>
  <threadedComment ref="BL6" dT="2026-01-31T15:07:40.08" personId="{2088F17F-74E5-F44D-8FBB-FEA1C486048F}" id="{D0015E7D-2741-A448-90E5-CC2727C217AE}">
    <text>은우 5 주아 5</text>
  </threadedComment>
  <threadedComment ref="BL6" dT="2026-05-05T13:20:15.20" personId="{2088F17F-74E5-F44D-8FBB-FEA1C486048F}" id="{B5141A87-A183-6540-958D-B06D37BC73C9}" parentId="{D0015E7D-2741-A448-90E5-CC2727C217AE}">
    <text>민하 20</text>
  </threadedComment>
  <threadedComment ref="D8" dT="2026-01-31T15:07:58.60" personId="{2088F17F-74E5-F44D-8FBB-FEA1C486048F}" id="{6AF43358-F8D7-BB4F-8FE0-3FD9CF00097E}">
    <text>윤하 20</text>
  </threadedComment>
  <threadedComment ref="P8" dT="2026-01-31T15:07:58.60" personId="{2088F17F-74E5-F44D-8FBB-FEA1C486048F}" id="{D2BFA4F3-3A75-3B45-8750-1DAD624E5418}">
    <text>윤하 20</text>
  </threadedComment>
  <threadedComment ref="AN8" dT="2026-01-31T15:07:58.60" personId="{2088F17F-74E5-F44D-8FBB-FEA1C486048F}" id="{8142E951-AF97-BC47-8867-FC476BA9A942}">
    <text>윤하 20</text>
  </threadedComment>
  <threadedComment ref="AZ8" dT="2026-01-31T15:07:58.60" personId="{2088F17F-74E5-F44D-8FBB-FEA1C486048F}" id="{4BDBCCC6-A43A-BE4B-85C7-E69CD7EBC4EE}">
    <text>윤하 20</text>
  </threadedComment>
  <threadedComment ref="BL8" dT="2026-01-31T15:07:58.60" personId="{2088F17F-74E5-F44D-8FBB-FEA1C486048F}" id="{176FBCC8-49BC-B644-864D-7BFAB1151F48}">
    <text>윤하 20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A4C3-717E-C948-A6EA-71073C3D5F7A}">
  <dimension ref="A1:BR48"/>
  <sheetViews>
    <sheetView zoomScale="125" zoomScaleNormal="55" workbookViewId="0">
      <pane xSplit="2" ySplit="1" topLeftCell="AL20" activePane="bottomRight" state="frozen"/>
      <selection activeCell="K40" sqref="K40"/>
      <selection pane="topRight" activeCell="K40" sqref="K40"/>
      <selection pane="bottomLeft" activeCell="K40" sqref="K40"/>
      <selection pane="bottomRight" activeCell="AX49" sqref="AX49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9" width="14.1640625" style="4" customWidth="1"/>
    <col min="20" max="21" width="14.1640625" style="4" bestFit="1" customWidth="1"/>
    <col min="22" max="22" width="14.1640625" style="4" customWidth="1"/>
    <col min="23" max="23" width="14.1640625" style="4" bestFit="1" customWidth="1"/>
    <col min="24" max="26" width="14.1640625" style="4" customWidth="1"/>
    <col min="27" max="27" width="14.1640625" style="4" hidden="1" customWidth="1"/>
    <col min="28" max="28" width="13.1640625" style="4" bestFit="1" customWidth="1"/>
    <col min="29" max="29" width="13.1640625" style="4" customWidth="1"/>
    <col min="30" max="30" width="18.33203125" style="4" bestFit="1" customWidth="1"/>
    <col min="31" max="31" width="13.1640625" style="4" hidden="1" customWidth="1"/>
    <col min="32" max="33" width="13.1640625" style="4" customWidth="1"/>
    <col min="34" max="34" width="12.5" style="4" bestFit="1" customWidth="1"/>
    <col min="35" max="35" width="14" style="4" bestFit="1" customWidth="1"/>
    <col min="36" max="36" width="13.1640625" style="4" hidden="1" customWidth="1"/>
    <col min="37" max="37" width="13.5" style="4" bestFit="1" customWidth="1"/>
    <col min="38" max="38" width="12.5" style="4" bestFit="1" customWidth="1"/>
    <col min="39" max="39" width="13.1640625" style="4" bestFit="1" customWidth="1"/>
    <col min="40" max="41" width="13.1640625" style="4" customWidth="1"/>
    <col min="42" max="42" width="11.33203125" style="4" bestFit="1" customWidth="1"/>
    <col min="43" max="43" width="11.33203125" style="4" customWidth="1"/>
    <col min="44" max="44" width="12.5" style="4" bestFit="1" customWidth="1"/>
    <col min="45" max="46" width="12" style="4" hidden="1" customWidth="1"/>
    <col min="47" max="47" width="13.1640625" style="4" bestFit="1" customWidth="1"/>
    <col min="48" max="48" width="12" style="4" hidden="1" customWidth="1"/>
    <col min="49" max="49" width="12" style="4" bestFit="1" customWidth="1"/>
    <col min="50" max="50" width="12" style="4" customWidth="1"/>
    <col min="51" max="51" width="16.83203125" style="4" bestFit="1" customWidth="1"/>
    <col min="52" max="54" width="14.1640625" style="4" bestFit="1" customWidth="1"/>
    <col min="55" max="55" width="14.1640625" style="4" customWidth="1"/>
    <col min="56" max="56" width="13.1640625" style="4" bestFit="1" customWidth="1"/>
    <col min="57" max="57" width="13.1640625" style="4" hidden="1" customWidth="1"/>
    <col min="58" max="58" width="13.1640625" style="4" customWidth="1"/>
    <col min="59" max="60" width="13.1640625" style="4" hidden="1" customWidth="1"/>
    <col min="61" max="61" width="12.5" style="4" bestFit="1" customWidth="1"/>
    <col min="62" max="62" width="12.5" style="4" hidden="1" customWidth="1"/>
    <col min="63" max="63" width="11.33203125" style="4" bestFit="1" customWidth="1"/>
    <col min="64" max="64" width="13.1640625" style="4" hidden="1" customWidth="1"/>
    <col min="65" max="65" width="11.33203125" style="4" hidden="1" customWidth="1"/>
    <col min="66" max="66" width="13.1640625" style="4" bestFit="1" customWidth="1"/>
    <col min="67" max="67" width="13.1640625" style="4" hidden="1" customWidth="1"/>
    <col min="68" max="68" width="12" style="4" hidden="1" customWidth="1"/>
    <col min="69" max="69" width="12" style="4" bestFit="1" customWidth="1"/>
    <col min="70" max="70" width="16.83203125" style="4" bestFit="1" customWidth="1"/>
  </cols>
  <sheetData>
    <row r="1" spans="1:70">
      <c r="A1" t="s">
        <v>104</v>
      </c>
      <c r="B1" t="s">
        <v>60</v>
      </c>
      <c r="C1" t="s">
        <v>61</v>
      </c>
      <c r="D1" t="s">
        <v>8</v>
      </c>
      <c r="E1" t="s">
        <v>10</v>
      </c>
      <c r="F1" t="s">
        <v>62</v>
      </c>
      <c r="G1" s="4" t="s">
        <v>107</v>
      </c>
      <c r="H1" s="4" t="s">
        <v>108</v>
      </c>
      <c r="I1" s="4" t="s">
        <v>102</v>
      </c>
      <c r="J1" s="4" t="s">
        <v>109</v>
      </c>
      <c r="K1" s="4" t="s">
        <v>99</v>
      </c>
      <c r="L1" s="4" t="s">
        <v>113</v>
      </c>
      <c r="M1" s="4" t="s">
        <v>114</v>
      </c>
      <c r="N1" s="4" t="s">
        <v>100</v>
      </c>
      <c r="O1" s="4" t="s">
        <v>115</v>
      </c>
      <c r="P1" s="4" t="s">
        <v>116</v>
      </c>
      <c r="Q1" s="4" t="s">
        <v>101</v>
      </c>
      <c r="R1" s="4" t="s">
        <v>106</v>
      </c>
      <c r="S1" s="4" t="s">
        <v>105</v>
      </c>
      <c r="T1" s="4" t="s">
        <v>82</v>
      </c>
      <c r="U1" s="4" t="s">
        <v>83</v>
      </c>
      <c r="V1" s="4" t="s">
        <v>103</v>
      </c>
      <c r="W1" s="4" t="s">
        <v>84</v>
      </c>
      <c r="X1" s="4" t="s">
        <v>96</v>
      </c>
      <c r="Y1" s="4" t="s">
        <v>97</v>
      </c>
      <c r="Z1" s="4" t="s">
        <v>98</v>
      </c>
      <c r="AA1" s="4" t="s">
        <v>64</v>
      </c>
      <c r="AB1" s="4" t="s">
        <v>2</v>
      </c>
      <c r="AC1" s="4" t="s">
        <v>81</v>
      </c>
      <c r="AD1" s="4" t="s">
        <v>95</v>
      </c>
      <c r="AE1" s="4" t="s">
        <v>86</v>
      </c>
      <c r="AF1" s="4" t="s">
        <v>85</v>
      </c>
      <c r="AG1" s="4" t="s">
        <v>88</v>
      </c>
      <c r="AH1" s="4" t="s">
        <v>76</v>
      </c>
      <c r="AI1" s="4" t="s">
        <v>65</v>
      </c>
      <c r="AJ1" s="4" t="s">
        <v>66</v>
      </c>
      <c r="AK1" s="4" t="s">
        <v>70</v>
      </c>
      <c r="AL1" s="4" t="s">
        <v>71</v>
      </c>
      <c r="AM1" s="4" t="s">
        <v>72</v>
      </c>
      <c r="AN1" s="4" t="s">
        <v>90</v>
      </c>
      <c r="AO1" s="4" t="s">
        <v>7</v>
      </c>
      <c r="AP1" s="4" t="s">
        <v>75</v>
      </c>
      <c r="AQ1" s="4" t="s">
        <v>21</v>
      </c>
      <c r="AR1" s="4" t="s">
        <v>73</v>
      </c>
      <c r="AS1" s="4" t="s">
        <v>77</v>
      </c>
      <c r="AT1" s="4" t="s">
        <v>89</v>
      </c>
      <c r="AU1" s="4" t="s">
        <v>74</v>
      </c>
      <c r="AV1" s="4" t="s">
        <v>69</v>
      </c>
      <c r="AW1" s="4" t="s">
        <v>68</v>
      </c>
      <c r="AX1" s="4" t="s">
        <v>87</v>
      </c>
      <c r="AY1" s="4" t="s">
        <v>63</v>
      </c>
      <c r="AZ1" s="4" t="s">
        <v>92</v>
      </c>
      <c r="BA1" s="4" t="s">
        <v>93</v>
      </c>
      <c r="BB1" s="4" t="s">
        <v>91</v>
      </c>
      <c r="BC1" s="4" t="s">
        <v>81</v>
      </c>
      <c r="BD1" s="4" t="s">
        <v>6</v>
      </c>
      <c r="BE1" s="4" t="s">
        <v>86</v>
      </c>
      <c r="BF1" s="4" t="s">
        <v>82</v>
      </c>
      <c r="BG1" s="4" t="s">
        <v>94</v>
      </c>
      <c r="BH1" s="4" t="s">
        <v>88</v>
      </c>
      <c r="BI1" s="4" t="s">
        <v>76</v>
      </c>
      <c r="BJ1" s="4" t="s">
        <v>66</v>
      </c>
      <c r="BK1" s="4" t="s">
        <v>87</v>
      </c>
      <c r="BL1" s="4" t="s">
        <v>72</v>
      </c>
      <c r="BM1" s="4" t="s">
        <v>75</v>
      </c>
      <c r="BN1" s="4" t="s">
        <v>77</v>
      </c>
      <c r="BO1" s="4" t="s">
        <v>74</v>
      </c>
      <c r="BP1" s="4" t="s">
        <v>69</v>
      </c>
      <c r="BQ1" s="4" t="s">
        <v>68</v>
      </c>
      <c r="BR1" s="4" t="s">
        <v>63</v>
      </c>
    </row>
    <row r="2" spans="1:70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1" si="0">T2+AZ2</f>
        <v>60000000</v>
      </c>
      <c r="H2" s="4">
        <f t="shared" ref="H2:H41" si="1">U2+BA2</f>
        <v>0</v>
      </c>
      <c r="I2" s="4">
        <f>G2-H2</f>
        <v>60000000</v>
      </c>
      <c r="J2" s="4">
        <f>G2-H2</f>
        <v>60000000</v>
      </c>
      <c r="K2" s="4">
        <f t="shared" ref="K2:K41" si="2">SUM(AB2,AD2,AF2,AG2,BD2,BG2,BH2)</f>
        <v>0</v>
      </c>
      <c r="L2" s="4">
        <f t="shared" ref="L2:L41" si="3">SUM(AB2-AH2+BD2-BI2)</f>
        <v>0</v>
      </c>
      <c r="M2" s="4">
        <f>SUM(AD2,AG2,BF2:BG2,BH2)</f>
        <v>0</v>
      </c>
      <c r="N2" s="4">
        <f t="shared" ref="N2:N41" si="4">SUM(AH2:AY2)+SUM(BI2:BR2)</f>
        <v>0</v>
      </c>
      <c r="O2" s="4">
        <f>SUM(AI2,AL2,AM2,AO2:AQ2,AU2:AX2,BK2:BN2,BP2:BQ2)</f>
        <v>0</v>
      </c>
      <c r="P2" s="4">
        <f t="shared" ref="P2:P41" si="5">SUM(AJ2:AK2,AN2,AY2+BJ2,BR2,BO2,AR2:AT2)</f>
        <v>0</v>
      </c>
      <c r="Q2" s="4">
        <f t="shared" ref="Q2:Q41" si="6">K2-N2</f>
        <v>0</v>
      </c>
      <c r="R2" s="4">
        <f t="shared" ref="R2:R41" si="7">AC2+BC2</f>
        <v>0</v>
      </c>
      <c r="S2" s="4">
        <f t="shared" ref="S2:S41" si="8">AE2+BE2</f>
        <v>0</v>
      </c>
      <c r="T2" s="4">
        <f>SUM(AA2:AG2)</f>
        <v>60000000</v>
      </c>
      <c r="U2" s="4">
        <f t="shared" ref="U2:U41" si="9">SUM(AH2:AY2)</f>
        <v>0</v>
      </c>
      <c r="V2" s="4">
        <f>T2-U2</f>
        <v>60000000</v>
      </c>
      <c r="W2" s="4">
        <f>T2-U2</f>
        <v>60000000</v>
      </c>
      <c r="X2" s="4">
        <f>AB2+AF2+AG2</f>
        <v>0</v>
      </c>
      <c r="Y2" s="4">
        <f t="shared" ref="Y2:Y41" si="10">SUM(AH2:AY2)</f>
        <v>0</v>
      </c>
      <c r="Z2" s="4">
        <f>X2-Y2</f>
        <v>0</v>
      </c>
      <c r="AA2" s="4">
        <v>60000000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f>SUM(BC2:BH2)</f>
        <v>0</v>
      </c>
      <c r="BA2" s="4">
        <f t="shared" ref="BA2:BA41" si="11">SUM(BI2:BR2)</f>
        <v>0</v>
      </c>
      <c r="BB2" s="4">
        <f>AZ2-BA2</f>
        <v>0</v>
      </c>
      <c r="BC2" s="4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</row>
    <row r="3" spans="1:70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12">G3-H3</f>
        <v>455701330</v>
      </c>
      <c r="J3" s="4">
        <f>J2+G3-H3</f>
        <v>515701330</v>
      </c>
      <c r="K3" s="4">
        <f t="shared" si="2"/>
        <v>0</v>
      </c>
      <c r="L3" s="4">
        <f t="shared" si="3"/>
        <v>0</v>
      </c>
      <c r="M3" s="4">
        <f t="shared" ref="M3:M41" si="13">SUM(AD3,AG3,BF3,BH3)</f>
        <v>0</v>
      </c>
      <c r="N3" s="4">
        <f t="shared" si="4"/>
        <v>84303670</v>
      </c>
      <c r="O3" s="4">
        <f t="shared" ref="O3:O41" si="14">SUM(AI3,AL3,AM3,AO3:AQ3,AU3:AX3,BK3:BN3,BP3:BQ3)</f>
        <v>44553570</v>
      </c>
      <c r="P3" s="4">
        <f t="shared" si="5"/>
        <v>39750100</v>
      </c>
      <c r="Q3" s="4">
        <f t="shared" si="6"/>
        <v>-84303670</v>
      </c>
      <c r="R3" s="4">
        <f t="shared" si="7"/>
        <v>0</v>
      </c>
      <c r="S3" s="4">
        <f t="shared" si="8"/>
        <v>0</v>
      </c>
      <c r="T3" s="4">
        <f t="shared" ref="T3:T8" si="15">SUM(AA3:AG3)</f>
        <v>540005000</v>
      </c>
      <c r="U3" s="4">
        <f t="shared" si="9"/>
        <v>84303670</v>
      </c>
      <c r="V3" s="4">
        <f t="shared" ref="V3:V40" si="16">T3-U3</f>
        <v>455701330</v>
      </c>
      <c r="W3" s="4">
        <f t="shared" ref="W3:W40" si="17">W2+T3-U3</f>
        <v>515701330</v>
      </c>
      <c r="X3" s="4">
        <f t="shared" ref="X3:X41" si="18">AB3+AF3+AG3</f>
        <v>0</v>
      </c>
      <c r="Y3" s="4">
        <f t="shared" si="10"/>
        <v>84303670</v>
      </c>
      <c r="Z3" s="4">
        <f t="shared" ref="Z3:Z40" si="19">X3-Y3</f>
        <v>-84303670</v>
      </c>
      <c r="AA3" s="4">
        <f>30000000+60000000+30000000+120000000+60005000+180000000+60000000</f>
        <v>540005000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f>5500000+495000+3054020+165000+2200000</f>
        <v>11414020</v>
      </c>
      <c r="AJ3" s="5">
        <f>13475000+13475000</f>
        <v>26950000</v>
      </c>
      <c r="AK3" s="4">
        <v>12500000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33000000</v>
      </c>
      <c r="AV3" s="4">
        <v>0</v>
      </c>
      <c r="AW3" s="4">
        <v>139550</v>
      </c>
      <c r="AX3" s="4">
        <v>0</v>
      </c>
      <c r="AY3" s="4">
        <f>4400+189700+106000</f>
        <v>300100</v>
      </c>
      <c r="AZ3" s="4">
        <f t="shared" ref="AZ3:AZ8" si="20">SUM(BC3:BH3)</f>
        <v>0</v>
      </c>
      <c r="BA3" s="4">
        <f t="shared" si="11"/>
        <v>0</v>
      </c>
      <c r="BB3" s="4">
        <f t="shared" ref="BB3:BB40" si="21">BB2+AZ3-BA3</f>
        <v>0</v>
      </c>
      <c r="BC3" s="4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</row>
    <row r="4" spans="1:70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12"/>
        <v>-587850</v>
      </c>
      <c r="J4" s="4">
        <f t="shared" ref="J4:J40" si="22">J3+G4-H4</f>
        <v>515113480</v>
      </c>
      <c r="K4" s="4">
        <f t="shared" si="2"/>
        <v>0</v>
      </c>
      <c r="L4" s="4">
        <f t="shared" si="3"/>
        <v>0</v>
      </c>
      <c r="M4" s="4">
        <f t="shared" si="13"/>
        <v>0</v>
      </c>
      <c r="N4" s="4">
        <f t="shared" si="4"/>
        <v>587850</v>
      </c>
      <c r="O4" s="4">
        <f t="shared" si="14"/>
        <v>507350</v>
      </c>
      <c r="P4" s="4">
        <f t="shared" si="5"/>
        <v>80500</v>
      </c>
      <c r="Q4" s="4">
        <f t="shared" si="6"/>
        <v>-587850</v>
      </c>
      <c r="R4" s="4">
        <f t="shared" si="7"/>
        <v>0</v>
      </c>
      <c r="S4" s="4">
        <f t="shared" si="8"/>
        <v>0</v>
      </c>
      <c r="T4" s="4">
        <f t="shared" si="15"/>
        <v>0</v>
      </c>
      <c r="U4" s="4">
        <f t="shared" si="9"/>
        <v>587850</v>
      </c>
      <c r="V4" s="4">
        <f t="shared" si="16"/>
        <v>-587850</v>
      </c>
      <c r="W4" s="4">
        <f t="shared" si="17"/>
        <v>515113480</v>
      </c>
      <c r="X4" s="4">
        <f t="shared" si="18"/>
        <v>0</v>
      </c>
      <c r="Y4" s="4">
        <f t="shared" si="10"/>
        <v>587850</v>
      </c>
      <c r="Z4" s="4">
        <f t="shared" si="19"/>
        <v>-587850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165000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f>8000</f>
        <v>8000</v>
      </c>
      <c r="AW4" s="4">
        <v>334350</v>
      </c>
      <c r="AX4" s="4">
        <v>0</v>
      </c>
      <c r="AY4" s="4">
        <f>25000+55500</f>
        <v>80500</v>
      </c>
      <c r="AZ4" s="4">
        <f t="shared" si="20"/>
        <v>0</v>
      </c>
      <c r="BA4" s="4">
        <f t="shared" si="11"/>
        <v>0</v>
      </c>
      <c r="BB4" s="4">
        <f t="shared" si="21"/>
        <v>0</v>
      </c>
      <c r="BC4" s="4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</row>
    <row r="5" spans="1:70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12"/>
        <v>-6110020</v>
      </c>
      <c r="J5" s="4">
        <f t="shared" si="22"/>
        <v>509003460</v>
      </c>
      <c r="K5" s="4">
        <f t="shared" si="2"/>
        <v>0</v>
      </c>
      <c r="L5" s="4">
        <f t="shared" si="3"/>
        <v>0</v>
      </c>
      <c r="M5" s="4">
        <f t="shared" si="13"/>
        <v>0</v>
      </c>
      <c r="N5" s="4">
        <f t="shared" si="4"/>
        <v>6110020</v>
      </c>
      <c r="O5" s="4">
        <f t="shared" si="14"/>
        <v>2009950</v>
      </c>
      <c r="P5" s="4">
        <f t="shared" si="5"/>
        <v>4100070</v>
      </c>
      <c r="Q5" s="4">
        <f t="shared" si="6"/>
        <v>-6110020</v>
      </c>
      <c r="R5" s="4">
        <f t="shared" si="7"/>
        <v>0</v>
      </c>
      <c r="S5" s="4">
        <f t="shared" si="8"/>
        <v>0</v>
      </c>
      <c r="T5" s="4">
        <f t="shared" si="15"/>
        <v>0</v>
      </c>
      <c r="U5" s="4">
        <f t="shared" si="9"/>
        <v>6110020</v>
      </c>
      <c r="V5" s="4">
        <f t="shared" si="16"/>
        <v>-6110020</v>
      </c>
      <c r="W5" s="4">
        <f t="shared" si="17"/>
        <v>509003460</v>
      </c>
      <c r="X5" s="4">
        <f t="shared" si="18"/>
        <v>0</v>
      </c>
      <c r="Y5" s="4">
        <f t="shared" si="10"/>
        <v>6110020</v>
      </c>
      <c r="Z5" s="4">
        <f t="shared" si="19"/>
        <v>-6110020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f>165000+330000</f>
        <v>495000</v>
      </c>
      <c r="AJ5" s="4">
        <v>599570</v>
      </c>
      <c r="AK5" s="4">
        <v>3000500</v>
      </c>
      <c r="AL5" s="4">
        <v>880500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f>165600+38650</f>
        <v>204250</v>
      </c>
      <c r="AW5" s="4">
        <v>430200</v>
      </c>
      <c r="AX5" s="4">
        <v>0</v>
      </c>
      <c r="AY5" s="4">
        <v>500000</v>
      </c>
      <c r="AZ5" s="4">
        <f t="shared" si="20"/>
        <v>0</v>
      </c>
      <c r="BA5" s="4">
        <f t="shared" si="11"/>
        <v>0</v>
      </c>
      <c r="BB5" s="4">
        <f t="shared" si="21"/>
        <v>0</v>
      </c>
      <c r="BC5" s="4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</row>
    <row r="6" spans="1:70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12"/>
        <v>-131523170</v>
      </c>
      <c r="J6" s="4">
        <f t="shared" si="22"/>
        <v>377480290</v>
      </c>
      <c r="K6" s="4">
        <f t="shared" si="2"/>
        <v>0</v>
      </c>
      <c r="L6" s="4">
        <f t="shared" si="3"/>
        <v>0</v>
      </c>
      <c r="M6" s="4">
        <f t="shared" si="13"/>
        <v>0</v>
      </c>
      <c r="N6" s="4">
        <f t="shared" si="4"/>
        <v>131523170</v>
      </c>
      <c r="O6" s="4">
        <f t="shared" si="14"/>
        <v>12162390</v>
      </c>
      <c r="P6" s="4">
        <f t="shared" si="5"/>
        <v>119360780</v>
      </c>
      <c r="Q6" s="4">
        <f t="shared" si="6"/>
        <v>-131523170</v>
      </c>
      <c r="R6" s="4">
        <f t="shared" si="7"/>
        <v>0</v>
      </c>
      <c r="S6" s="4">
        <f t="shared" si="8"/>
        <v>0</v>
      </c>
      <c r="T6" s="4">
        <f t="shared" si="15"/>
        <v>0</v>
      </c>
      <c r="U6" s="4">
        <f t="shared" si="9"/>
        <v>131523170</v>
      </c>
      <c r="V6" s="4">
        <f t="shared" si="16"/>
        <v>-131523170</v>
      </c>
      <c r="W6" s="4">
        <f t="shared" si="17"/>
        <v>377480290</v>
      </c>
      <c r="X6" s="4">
        <f t="shared" si="18"/>
        <v>0</v>
      </c>
      <c r="Y6" s="4">
        <f t="shared" si="10"/>
        <v>131523170</v>
      </c>
      <c r="Z6" s="4">
        <f t="shared" si="19"/>
        <v>-131523170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165000</v>
      </c>
      <c r="AJ6" s="4">
        <f>287500+15400+318500+90400+73500000+217500+119250</f>
        <v>74548550</v>
      </c>
      <c r="AK6" s="4">
        <f>18000500+18000500</f>
        <v>36001000</v>
      </c>
      <c r="AL6" s="4">
        <v>0</v>
      </c>
      <c r="AM6" s="4">
        <f>4614490+1467390</f>
        <v>6081880</v>
      </c>
      <c r="AN6" s="4">
        <v>0</v>
      </c>
      <c r="AO6" s="4">
        <v>0</v>
      </c>
      <c r="AP6" s="4">
        <v>0</v>
      </c>
      <c r="AQ6" s="4">
        <v>3610</v>
      </c>
      <c r="AR6" s="4">
        <v>3000500</v>
      </c>
      <c r="AS6" s="4">
        <v>5200000</v>
      </c>
      <c r="AT6" s="4">
        <v>0</v>
      </c>
      <c r="AU6" s="4">
        <v>3300500</v>
      </c>
      <c r="AV6" s="4">
        <f>39000+319500+75000+952050+19800+13500</f>
        <v>1418850</v>
      </c>
      <c r="AW6" s="4">
        <v>1192550</v>
      </c>
      <c r="AX6" s="4">
        <v>0</v>
      </c>
      <c r="AY6" s="4">
        <f>33000+107850+22800+18400+200500+4400+36880+25000+30000+98900+33000</f>
        <v>610730</v>
      </c>
      <c r="AZ6" s="4">
        <f t="shared" si="20"/>
        <v>0</v>
      </c>
      <c r="BA6" s="4">
        <f t="shared" si="11"/>
        <v>0</v>
      </c>
      <c r="BB6" s="4">
        <f t="shared" si="21"/>
        <v>0</v>
      </c>
      <c r="BC6" s="4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</row>
    <row r="7" spans="1:70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12"/>
        <v>-104107865</v>
      </c>
      <c r="J7" s="4">
        <f t="shared" si="22"/>
        <v>273372425</v>
      </c>
      <c r="K7" s="4">
        <f t="shared" si="2"/>
        <v>33554140</v>
      </c>
      <c r="L7" s="4">
        <f t="shared" si="3"/>
        <v>24654140</v>
      </c>
      <c r="M7" s="4">
        <f t="shared" si="13"/>
        <v>0</v>
      </c>
      <c r="N7" s="4">
        <f t="shared" si="4"/>
        <v>137687005</v>
      </c>
      <c r="O7" s="4">
        <f t="shared" si="14"/>
        <v>16831995</v>
      </c>
      <c r="P7" s="4">
        <f t="shared" si="5"/>
        <v>111955010</v>
      </c>
      <c r="Q7" s="4">
        <f t="shared" si="6"/>
        <v>-104132865</v>
      </c>
      <c r="R7" s="4">
        <f t="shared" si="7"/>
        <v>25000</v>
      </c>
      <c r="S7" s="4">
        <f t="shared" si="8"/>
        <v>0</v>
      </c>
      <c r="T7" s="4">
        <f t="shared" si="15"/>
        <v>33554140</v>
      </c>
      <c r="U7" s="4">
        <f t="shared" si="9"/>
        <v>137687005</v>
      </c>
      <c r="V7" s="4">
        <f t="shared" si="16"/>
        <v>-104132865</v>
      </c>
      <c r="W7" s="4">
        <f t="shared" si="17"/>
        <v>273347425</v>
      </c>
      <c r="X7" s="4">
        <f t="shared" si="18"/>
        <v>33554140</v>
      </c>
      <c r="Y7" s="4">
        <f t="shared" si="10"/>
        <v>137687005</v>
      </c>
      <c r="Z7" s="4">
        <f t="shared" si="19"/>
        <v>-104132865</v>
      </c>
      <c r="AA7" s="4">
        <v>0</v>
      </c>
      <c r="AB7" s="4">
        <f>1620000*17+1620000+400000+400000+1620000+1582740+391400</f>
        <v>33554140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f>1620000+400000+1620000+1620000+1620000+400000+1620000</f>
        <v>8900000</v>
      </c>
      <c r="AI7" s="4">
        <f>264000+334000+603000+687500+165000</f>
        <v>2053500</v>
      </c>
      <c r="AJ7" s="4">
        <f>7810000+10890000+71880+88800+11760000</f>
        <v>30620680</v>
      </c>
      <c r="AK7" s="4">
        <f>18000000+18000000+300000+200000+18000000+22500000</f>
        <v>77000000</v>
      </c>
      <c r="AL7" s="4">
        <f>880000</f>
        <v>880000</v>
      </c>
      <c r="AM7" s="4">
        <f>81850+96700+145050+48350+48350+362630+3546980+4193300+1676200</f>
        <v>10199410</v>
      </c>
      <c r="AN7" s="4">
        <v>0</v>
      </c>
      <c r="AO7" s="4">
        <v>0</v>
      </c>
      <c r="AP7" s="4">
        <f>35900+359130</f>
        <v>395030</v>
      </c>
      <c r="AQ7" s="4">
        <v>61380</v>
      </c>
      <c r="AR7" s="4">
        <v>0</v>
      </c>
      <c r="AS7" s="4">
        <f>2676000+593000</f>
        <v>3269000</v>
      </c>
      <c r="AT7" s="4">
        <v>0</v>
      </c>
      <c r="AU7" s="4">
        <v>0</v>
      </c>
      <c r="AV7" s="4">
        <f>396000+209000+49900</f>
        <v>654900</v>
      </c>
      <c r="AW7" s="4">
        <v>2587775</v>
      </c>
      <c r="AX7" s="4">
        <v>0</v>
      </c>
      <c r="AY7" s="4">
        <f>49950+400000+27000+18000+102250+11000+45940+3500+55500+9900+24680+51900+20560+35900+32700+31750+6000+137400+700+700</f>
        <v>1065330</v>
      </c>
      <c r="AZ7" s="4">
        <f t="shared" si="20"/>
        <v>25000</v>
      </c>
      <c r="BA7" s="4">
        <f t="shared" si="11"/>
        <v>0</v>
      </c>
      <c r="BB7" s="4">
        <f t="shared" si="21"/>
        <v>25000</v>
      </c>
      <c r="BC7" s="4">
        <f>10000+15000</f>
        <v>25000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</row>
    <row r="8" spans="1:70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12"/>
        <v>-189638460</v>
      </c>
      <c r="J8" s="4">
        <f t="shared" si="22"/>
        <v>83733965</v>
      </c>
      <c r="K8" s="4">
        <f t="shared" si="2"/>
        <v>12015560</v>
      </c>
      <c r="L8" s="4">
        <f t="shared" si="3"/>
        <v>-1499876</v>
      </c>
      <c r="M8" s="4">
        <f t="shared" si="13"/>
        <v>155436</v>
      </c>
      <c r="N8" s="4">
        <f t="shared" si="4"/>
        <v>208454020</v>
      </c>
      <c r="O8" s="4">
        <f t="shared" si="14"/>
        <v>26476100</v>
      </c>
      <c r="P8" s="4">
        <f t="shared" si="5"/>
        <v>168617920</v>
      </c>
      <c r="Q8" s="4">
        <f t="shared" si="6"/>
        <v>-196438460</v>
      </c>
      <c r="R8" s="4">
        <f t="shared" si="7"/>
        <v>6800000</v>
      </c>
      <c r="S8" s="4">
        <f t="shared" si="8"/>
        <v>0</v>
      </c>
      <c r="T8" s="4">
        <f t="shared" si="15"/>
        <v>7343175</v>
      </c>
      <c r="U8" s="4">
        <f t="shared" si="9"/>
        <v>200654020</v>
      </c>
      <c r="V8" s="4">
        <f t="shared" si="16"/>
        <v>-193310845</v>
      </c>
      <c r="W8" s="4">
        <f t="shared" si="17"/>
        <v>80036580</v>
      </c>
      <c r="X8" s="4">
        <f t="shared" si="18"/>
        <v>7343175</v>
      </c>
      <c r="Y8" s="4">
        <f t="shared" si="10"/>
        <v>200654020</v>
      </c>
      <c r="Z8" s="4">
        <f t="shared" si="19"/>
        <v>-193310845</v>
      </c>
      <c r="AA8" s="4">
        <v>0</v>
      </c>
      <c r="AB8" s="4">
        <f>1582740+400000+2078000+452351+524649+2150000</f>
        <v>7187740</v>
      </c>
      <c r="AC8" s="4">
        <v>0</v>
      </c>
      <c r="AD8" s="4">
        <v>0</v>
      </c>
      <c r="AE8" s="4">
        <v>0</v>
      </c>
      <c r="AF8" s="4">
        <v>0</v>
      </c>
      <c r="AG8" s="4">
        <v>155435</v>
      </c>
      <c r="AH8" s="4">
        <f>1620000+1620000+1620000+1620000+1620000+1620000+1620000+1620000+400000</f>
        <v>13360000</v>
      </c>
      <c r="AI8" s="4">
        <f>165000+50000+30000+30000</f>
        <v>275000</v>
      </c>
      <c r="AJ8" s="4">
        <f>107800000+7920000+7920000+7930750+14520000</f>
        <v>146090750</v>
      </c>
      <c r="AK8" s="4">
        <f>10000000+4700000</f>
        <v>14700000</v>
      </c>
      <c r="AL8" s="4">
        <f>880000+880000+550000</f>
        <v>2310000</v>
      </c>
      <c r="AM8" s="4">
        <f>860630+3546980+2431710+4193300+1248570</f>
        <v>12281190</v>
      </c>
      <c r="AN8" s="4">
        <v>0</v>
      </c>
      <c r="AO8" s="4">
        <v>0</v>
      </c>
      <c r="AP8" s="4">
        <f>588130+21750+60970+629760+26700+65630</f>
        <v>1392940</v>
      </c>
      <c r="AQ8" s="4">
        <v>110800</v>
      </c>
      <c r="AR8" s="4">
        <f>8436600+3927600+117000</f>
        <v>12481200</v>
      </c>
      <c r="AS8" s="4">
        <f>-5200000</f>
        <v>-5200000</v>
      </c>
      <c r="AT8" s="4">
        <v>0</v>
      </c>
      <c r="AU8" s="4">
        <v>0</v>
      </c>
      <c r="AV8" s="4">
        <f>213500+550000</f>
        <v>763500</v>
      </c>
      <c r="AW8" s="4">
        <v>1542670</v>
      </c>
      <c r="AX8" s="4">
        <v>0</v>
      </c>
      <c r="AY8" s="4">
        <f>9900+41210+10000+48220+202280+62530+146930+13900+8000+3000</f>
        <v>545970</v>
      </c>
      <c r="AZ8" s="4">
        <f t="shared" si="20"/>
        <v>11472385</v>
      </c>
      <c r="BA8" s="4">
        <f t="shared" si="11"/>
        <v>7800000</v>
      </c>
      <c r="BB8" s="4">
        <f t="shared" si="21"/>
        <v>3697385</v>
      </c>
      <c r="BC8" s="4">
        <f>4200000+2600000</f>
        <v>6800000</v>
      </c>
      <c r="BD8" s="6">
        <f>978000+955506+1576878+1162000</f>
        <v>4672384</v>
      </c>
      <c r="BE8" s="6">
        <v>0</v>
      </c>
      <c r="BF8" s="6">
        <v>0</v>
      </c>
      <c r="BG8" s="6">
        <v>0</v>
      </c>
      <c r="BH8" s="6">
        <v>1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7800000</v>
      </c>
      <c r="BO8" s="6">
        <v>0</v>
      </c>
      <c r="BP8" s="6">
        <v>0</v>
      </c>
      <c r="BQ8" s="6">
        <v>0</v>
      </c>
      <c r="BR8" s="6">
        <v>0</v>
      </c>
    </row>
    <row r="9" spans="1:70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12"/>
        <v>-77624819</v>
      </c>
      <c r="J9" s="4">
        <f t="shared" si="22"/>
        <v>6109146</v>
      </c>
      <c r="K9" s="4">
        <f t="shared" si="2"/>
        <v>3733986</v>
      </c>
      <c r="L9" s="4">
        <f t="shared" si="3"/>
        <v>2113986</v>
      </c>
      <c r="M9" s="4">
        <f t="shared" si="13"/>
        <v>0</v>
      </c>
      <c r="N9" s="4">
        <f t="shared" si="4"/>
        <v>123758805</v>
      </c>
      <c r="O9" s="4">
        <f t="shared" si="14"/>
        <v>30754265</v>
      </c>
      <c r="P9" s="4">
        <f t="shared" si="5"/>
        <v>91384540</v>
      </c>
      <c r="Q9" s="4">
        <f t="shared" si="6"/>
        <v>-120024819</v>
      </c>
      <c r="R9" s="4">
        <f t="shared" si="7"/>
        <v>42400000</v>
      </c>
      <c r="S9" s="4">
        <f t="shared" si="8"/>
        <v>0</v>
      </c>
      <c r="T9" s="4">
        <f t="shared" ref="T9:T40" si="23">SUM(AA9:AG9)</f>
        <v>48777986</v>
      </c>
      <c r="U9" s="4">
        <f t="shared" si="9"/>
        <v>123758805</v>
      </c>
      <c r="V9" s="4">
        <f t="shared" si="16"/>
        <v>-74980819</v>
      </c>
      <c r="W9" s="4">
        <f t="shared" si="17"/>
        <v>5055761</v>
      </c>
      <c r="X9" s="4">
        <f t="shared" si="18"/>
        <v>2777986</v>
      </c>
      <c r="Y9" s="4">
        <f t="shared" si="10"/>
        <v>123758805</v>
      </c>
      <c r="Z9" s="4">
        <f t="shared" si="19"/>
        <v>-120980819</v>
      </c>
      <c r="AA9" s="4">
        <v>0</v>
      </c>
      <c r="AB9" s="4">
        <f>1360000+240000+378680+400000+369306+30000</f>
        <v>2777986</v>
      </c>
      <c r="AC9" s="4">
        <v>46000000</v>
      </c>
      <c r="AD9" s="4">
        <v>0</v>
      </c>
      <c r="AE9" s="4">
        <v>0</v>
      </c>
      <c r="AF9" s="4">
        <f>-70000000+20000000-10000000+70000000-20000000+10000000</f>
        <v>0</v>
      </c>
      <c r="AG9" s="4">
        <v>0</v>
      </c>
      <c r="AH9" s="4">
        <v>1620000</v>
      </c>
      <c r="AI9" s="4">
        <f>250000+165000+1300000</f>
        <v>1715000</v>
      </c>
      <c r="AJ9" s="4">
        <f>1312300+30000+6515740+10833850+14850000+7127600+46000000</f>
        <v>86669490</v>
      </c>
      <c r="AK9" s="4">
        <v>500000</v>
      </c>
      <c r="AL9" s="4">
        <v>0</v>
      </c>
      <c r="AM9" s="4">
        <f>2745+1434600+8663060</f>
        <v>10100405</v>
      </c>
      <c r="AN9" s="4">
        <v>0</v>
      </c>
      <c r="AO9" s="4">
        <v>0</v>
      </c>
      <c r="AP9" s="4">
        <v>0</v>
      </c>
      <c r="AQ9" s="4">
        <f>55100+66760+107640+106100+208140</f>
        <v>543740</v>
      </c>
      <c r="AR9" s="4">
        <v>0</v>
      </c>
      <c r="AS9" s="4">
        <v>0</v>
      </c>
      <c r="AT9" s="4">
        <v>0</v>
      </c>
      <c r="AU9" s="4">
        <f>3410000</f>
        <v>3410000</v>
      </c>
      <c r="AV9" s="4">
        <f>24200+3371500+180000-180000+1626400</f>
        <v>5022100</v>
      </c>
      <c r="AW9" s="4">
        <v>9963020</v>
      </c>
      <c r="AX9" s="4">
        <v>0</v>
      </c>
      <c r="AY9" s="4">
        <f>602460+329570+10000+4000+4000+35700+195800+25000+37000+54100+160000+16800+16000+46940+9600+25000+19000+484000+350000+11000+1779080</f>
        <v>4215050</v>
      </c>
      <c r="AZ9" s="4">
        <f t="shared" ref="AZ9" si="24">SUM(BC9:BH9)</f>
        <v>-2644000</v>
      </c>
      <c r="BA9" s="4">
        <f t="shared" si="11"/>
        <v>0</v>
      </c>
      <c r="BB9" s="4">
        <f t="shared" si="21"/>
        <v>1053385</v>
      </c>
      <c r="BC9" s="4">
        <v>-3600000</v>
      </c>
      <c r="BD9" s="6">
        <v>956000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</row>
    <row r="10" spans="1:70">
      <c r="A10">
        <v>2023</v>
      </c>
      <c r="B10">
        <v>2</v>
      </c>
      <c r="C10">
        <f>C9+1-1+2+1</f>
        <v>14</v>
      </c>
      <c r="D10">
        <f t="shared" ref="D10" si="25">D9</f>
        <v>0</v>
      </c>
      <c r="E10">
        <f>E9+1+1</f>
        <v>3</v>
      </c>
      <c r="F10">
        <f t="shared" ref="F10" si="26">F9</f>
        <v>0</v>
      </c>
      <c r="G10" s="4">
        <f t="shared" si="0"/>
        <v>128053672</v>
      </c>
      <c r="H10" s="4">
        <f t="shared" si="1"/>
        <v>60734152</v>
      </c>
      <c r="I10" s="4">
        <f t="shared" si="12"/>
        <v>67319520</v>
      </c>
      <c r="J10" s="4">
        <f t="shared" si="22"/>
        <v>73428666</v>
      </c>
      <c r="K10" s="4">
        <f t="shared" si="2"/>
        <v>52253672</v>
      </c>
      <c r="L10" s="4">
        <f t="shared" si="3"/>
        <v>46674732</v>
      </c>
      <c r="M10" s="4">
        <f t="shared" si="13"/>
        <v>11400</v>
      </c>
      <c r="N10" s="4">
        <f t="shared" si="4"/>
        <v>60734152</v>
      </c>
      <c r="O10" s="4">
        <f t="shared" si="14"/>
        <v>32584322</v>
      </c>
      <c r="P10" s="4">
        <f t="shared" si="5"/>
        <v>22582290</v>
      </c>
      <c r="Q10" s="4">
        <f t="shared" si="6"/>
        <v>-8480480</v>
      </c>
      <c r="R10" s="4">
        <f t="shared" si="7"/>
        <v>-2000000</v>
      </c>
      <c r="S10" s="4">
        <f t="shared" si="8"/>
        <v>47800000</v>
      </c>
      <c r="T10" s="4">
        <f t="shared" si="23"/>
        <v>115920705</v>
      </c>
      <c r="U10" s="4">
        <f t="shared" si="9"/>
        <v>59506752</v>
      </c>
      <c r="V10" s="4">
        <f t="shared" si="16"/>
        <v>56413953</v>
      </c>
      <c r="W10" s="4">
        <f t="shared" si="17"/>
        <v>61469714</v>
      </c>
      <c r="X10" s="4">
        <f t="shared" si="18"/>
        <v>38120705</v>
      </c>
      <c r="Y10" s="4">
        <f t="shared" si="10"/>
        <v>59506752</v>
      </c>
      <c r="Z10" s="4">
        <f t="shared" si="19"/>
        <v>-21386047</v>
      </c>
      <c r="AA10" s="4">
        <f>10000000+5000000+10000000+10000000+10000000+10000000+5000000-30000000</f>
        <v>30000000</v>
      </c>
      <c r="AB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AC10" s="4">
        <v>0</v>
      </c>
      <c r="AD10" s="4">
        <v>0</v>
      </c>
      <c r="AE10" s="4">
        <f>17800000+30000000</f>
        <v>47800000</v>
      </c>
      <c r="AF10" s="4">
        <v>0</v>
      </c>
      <c r="AG10" s="4">
        <v>11400</v>
      </c>
      <c r="AH10" s="4">
        <f>400000+291000+250000+252000+30000+294000+30000+30000+105000+252000+30000+269000+30000+90000+700000+1582740+282000</f>
        <v>4917740</v>
      </c>
      <c r="AI10" s="4">
        <f>165000+650000+687500+240000+702000</f>
        <v>2444500</v>
      </c>
      <c r="AJ10" s="4">
        <f>594000</f>
        <v>594000</v>
      </c>
      <c r="AK10" s="4">
        <f>-20000000+20000000-3000000+500000+4500000</f>
        <v>2000000</v>
      </c>
      <c r="AL10" s="4">
        <f>550000+550000</f>
        <v>1100000</v>
      </c>
      <c r="AM10" s="4">
        <f>2499570+10184660+1934000</f>
        <v>14618230</v>
      </c>
      <c r="AN10" s="4">
        <v>0</v>
      </c>
      <c r="AO10" s="4">
        <v>0</v>
      </c>
      <c r="AP10" s="4">
        <f>36910+89960+279290</f>
        <v>406160</v>
      </c>
      <c r="AQ10" s="4">
        <f>214830+88000+967980+1769090</f>
        <v>3039900</v>
      </c>
      <c r="AR10" s="4">
        <v>0</v>
      </c>
      <c r="AS10" s="4">
        <f>2532000+31500</f>
        <v>2563500</v>
      </c>
      <c r="AT10" s="4">
        <f>1000000+14200000+975420+400000+90000</f>
        <v>16665420</v>
      </c>
      <c r="AU10" s="4">
        <f>296060+3500000</f>
        <v>3796060</v>
      </c>
      <c r="AV10" s="4">
        <f>10000+10000</f>
        <v>20000</v>
      </c>
      <c r="AW10" s="4">
        <v>6581872</v>
      </c>
      <c r="AX10" s="4">
        <v>0</v>
      </c>
      <c r="AY10" s="4">
        <f>92580-92580+198350+50000+66370+444650</f>
        <v>759370</v>
      </c>
      <c r="AZ10" s="4">
        <f t="shared" ref="AZ10:AZ20" si="27">SUM(BC10:BH10)</f>
        <v>12132967</v>
      </c>
      <c r="BA10" s="4">
        <f t="shared" si="11"/>
        <v>1227400</v>
      </c>
      <c r="BB10" s="4">
        <f t="shared" si="21"/>
        <v>11958952</v>
      </c>
      <c r="BC10" s="4">
        <v>-2000000</v>
      </c>
      <c r="BD10" s="6">
        <f>956000+13176967</f>
        <v>14132967</v>
      </c>
      <c r="BE10" s="6">
        <v>0</v>
      </c>
      <c r="BF10" s="6">
        <v>0</v>
      </c>
      <c r="BG10" s="6">
        <v>0</v>
      </c>
      <c r="BH10" s="6">
        <v>0</v>
      </c>
      <c r="BI10" s="6">
        <f>168000+291000+156600+17100+17100</f>
        <v>649800</v>
      </c>
      <c r="BJ10" s="6">
        <v>0</v>
      </c>
      <c r="BK10" s="6">
        <v>0</v>
      </c>
      <c r="BL10" s="6">
        <v>0</v>
      </c>
      <c r="BM10" s="6">
        <v>0</v>
      </c>
      <c r="BN10" s="6">
        <v>577600</v>
      </c>
      <c r="BO10" s="6">
        <v>0</v>
      </c>
      <c r="BP10" s="6">
        <v>0</v>
      </c>
      <c r="BQ10" s="6">
        <v>0</v>
      </c>
      <c r="BR10" s="6">
        <v>0</v>
      </c>
    </row>
    <row r="11" spans="1:70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12"/>
        <v>-16902370</v>
      </c>
      <c r="J11" s="4">
        <f t="shared" si="22"/>
        <v>56526296</v>
      </c>
      <c r="K11" s="4">
        <f t="shared" si="2"/>
        <v>84305357</v>
      </c>
      <c r="L11" s="4">
        <f t="shared" si="3"/>
        <v>74999752</v>
      </c>
      <c r="M11" s="4">
        <f t="shared" si="13"/>
        <v>28107</v>
      </c>
      <c r="N11" s="4">
        <f t="shared" si="4"/>
        <v>54007727</v>
      </c>
      <c r="O11" s="4">
        <f t="shared" si="14"/>
        <v>42404669</v>
      </c>
      <c r="P11" s="4">
        <f t="shared" si="5"/>
        <v>2325060</v>
      </c>
      <c r="Q11" s="4">
        <f t="shared" si="6"/>
        <v>30297630</v>
      </c>
      <c r="R11" s="4">
        <f t="shared" si="7"/>
        <v>-47200000</v>
      </c>
      <c r="S11" s="4">
        <f t="shared" si="8"/>
        <v>0</v>
      </c>
      <c r="T11" s="4">
        <f t="shared" si="23"/>
        <v>25706673</v>
      </c>
      <c r="U11" s="4">
        <f t="shared" si="9"/>
        <v>45909107</v>
      </c>
      <c r="V11" s="4">
        <f t="shared" si="16"/>
        <v>-20202434</v>
      </c>
      <c r="W11" s="4">
        <f t="shared" si="17"/>
        <v>41267280</v>
      </c>
      <c r="X11" s="4">
        <f t="shared" si="18"/>
        <v>71706673</v>
      </c>
      <c r="Y11" s="4">
        <f t="shared" si="10"/>
        <v>45909107</v>
      </c>
      <c r="Z11" s="4">
        <f t="shared" si="19"/>
        <v>25797566</v>
      </c>
      <c r="AA11" s="4">
        <v>0</v>
      </c>
      <c r="AB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AC11" s="4">
        <v>-46000000</v>
      </c>
      <c r="AD11" s="4">
        <v>0</v>
      </c>
      <c r="AE11" s="4">
        <v>0</v>
      </c>
      <c r="AF11" s="4">
        <f>-46000000-15000000+20000000-30000000+46000000+15000000+30000000+80547-80547-20000500</f>
        <v>-500</v>
      </c>
      <c r="AG11" s="4">
        <f>540+9950</f>
        <v>10490</v>
      </c>
      <c r="AH11" s="4">
        <f>400000+252000+252000+282000+282000+294000+252000+139300+1068630+1000373+49750+1611900+168000+20000+1094000+238800+280590+376110</f>
        <v>8061453</v>
      </c>
      <c r="AI11" s="4">
        <f>165000+660000+650000</f>
        <v>1475000</v>
      </c>
      <c r="AJ11" s="4">
        <v>0</v>
      </c>
      <c r="AK11" s="4">
        <v>0</v>
      </c>
      <c r="AL11" s="4">
        <f>550000+550000</f>
        <v>1100000</v>
      </c>
      <c r="AM11" s="4">
        <f>705970+20283499+2760030+120000+600000</f>
        <v>24469499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f>2640000+500000</f>
        <v>3140000</v>
      </c>
      <c r="AW11" s="4">
        <v>4943452</v>
      </c>
      <c r="AX11" s="4">
        <f>379796+80547</f>
        <v>460343</v>
      </c>
      <c r="AY11" s="4">
        <f>36770+41800+52500+264210+19900+403000+104000+108300+155000+24460+3740+9330+117590+95170+6900+14150+35640+15950+10320+8890+55740+28800+15840+5400+45220+19180+144100+88560+328900</f>
        <v>2259360</v>
      </c>
      <c r="AZ11" s="4">
        <f t="shared" si="27"/>
        <v>11398684</v>
      </c>
      <c r="BA11" s="4">
        <f t="shared" si="11"/>
        <v>8098620</v>
      </c>
      <c r="BB11" s="4">
        <f t="shared" si="21"/>
        <v>15259016</v>
      </c>
      <c r="BC11" s="4">
        <v>-1200000</v>
      </c>
      <c r="BD11" s="6">
        <f>11506699+27082+365713+69900+462198+149475</f>
        <v>12581067</v>
      </c>
      <c r="BE11" s="6">
        <v>0</v>
      </c>
      <c r="BF11" s="6">
        <v>0</v>
      </c>
      <c r="BG11" s="6">
        <v>0</v>
      </c>
      <c r="BH11" s="6">
        <v>17617</v>
      </c>
      <c r="BI11" s="6">
        <f>216000+6000+344500+299000+11750+339295</f>
        <v>1216545</v>
      </c>
      <c r="BJ11" s="6">
        <v>0</v>
      </c>
      <c r="BK11" s="6">
        <v>0</v>
      </c>
      <c r="BL11" s="6">
        <v>0</v>
      </c>
      <c r="BM11" s="6">
        <v>0</v>
      </c>
      <c r="BN11" s="6">
        <f>177650+189050+494000+348000+450000+270000+476000+114950+2221725+168000+1605000-102000+404000</f>
        <v>6816375</v>
      </c>
      <c r="BO11" s="6">
        <v>0</v>
      </c>
      <c r="BP11" s="6">
        <v>0</v>
      </c>
      <c r="BQ11" s="6">
        <v>0</v>
      </c>
      <c r="BR11" s="6">
        <f>30000+15600+20100</f>
        <v>65700</v>
      </c>
    </row>
    <row r="12" spans="1:70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42751822</v>
      </c>
      <c r="H12" s="4">
        <f t="shared" si="1"/>
        <v>58686448</v>
      </c>
      <c r="I12" s="4">
        <f t="shared" si="12"/>
        <v>-15934626</v>
      </c>
      <c r="J12" s="4">
        <f t="shared" si="22"/>
        <v>40591670</v>
      </c>
      <c r="K12" s="4">
        <f t="shared" si="2"/>
        <v>42749622</v>
      </c>
      <c r="L12" s="4">
        <f t="shared" si="3"/>
        <v>36010738</v>
      </c>
      <c r="M12" s="4">
        <f t="shared" si="13"/>
        <v>34000</v>
      </c>
      <c r="N12" s="4">
        <f t="shared" si="4"/>
        <v>58686448</v>
      </c>
      <c r="O12" s="4">
        <f t="shared" si="14"/>
        <v>48816414</v>
      </c>
      <c r="P12" s="4">
        <f t="shared" si="5"/>
        <v>9250150</v>
      </c>
      <c r="Q12" s="4">
        <f t="shared" si="6"/>
        <v>-15936826</v>
      </c>
      <c r="R12" s="4">
        <f t="shared" si="7"/>
        <v>2200</v>
      </c>
      <c r="S12" s="4">
        <f t="shared" si="8"/>
        <v>0</v>
      </c>
      <c r="T12" s="4">
        <f t="shared" si="23"/>
        <v>38186558</v>
      </c>
      <c r="U12" s="4">
        <f t="shared" si="9"/>
        <v>51066496</v>
      </c>
      <c r="V12" s="4">
        <f t="shared" si="16"/>
        <v>-12879938</v>
      </c>
      <c r="W12" s="4">
        <f t="shared" si="17"/>
        <v>28387342</v>
      </c>
      <c r="X12" s="4">
        <f t="shared" si="18"/>
        <v>38186558</v>
      </c>
      <c r="Y12" s="4">
        <f t="shared" si="10"/>
        <v>51066496</v>
      </c>
      <c r="Z12" s="4">
        <f t="shared" si="19"/>
        <v>-12879938</v>
      </c>
      <c r="AA12" s="4">
        <v>0</v>
      </c>
      <c r="AB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AC12" s="4">
        <v>0</v>
      </c>
      <c r="AD12" s="4">
        <v>0</v>
      </c>
      <c r="AE12" s="4">
        <v>0</v>
      </c>
      <c r="AF12" s="4">
        <f>-19000000-13000000+19000000+6085000+13000000+100000-100000</f>
        <v>6085000</v>
      </c>
      <c r="AG12" s="4">
        <v>34000</v>
      </c>
      <c r="AH12" s="4">
        <v>0</v>
      </c>
      <c r="AI12" s="4">
        <f>165000+50000+55000+1300000</f>
        <v>1570000</v>
      </c>
      <c r="AJ12" s="4">
        <f>363000</f>
        <v>363000</v>
      </c>
      <c r="AK12" s="4">
        <v>5000000</v>
      </c>
      <c r="AL12" s="4">
        <f>550000+550000</f>
        <v>1100000</v>
      </c>
      <c r="AM12" s="4">
        <f>2557900+60000+27198410+823330</f>
        <v>30639640</v>
      </c>
      <c r="AN12" s="4">
        <v>0</v>
      </c>
      <c r="AO12" s="4">
        <f>466400+3220800</f>
        <v>3687200</v>
      </c>
      <c r="AP12" s="4">
        <f>34000</f>
        <v>34000</v>
      </c>
      <c r="AQ12" s="4">
        <f>2148760</f>
        <v>2148760</v>
      </c>
      <c r="AR12" s="4">
        <v>1918000</v>
      </c>
      <c r="AS12" s="4">
        <v>0</v>
      </c>
      <c r="AT12" s="4">
        <v>0</v>
      </c>
      <c r="AU12" s="4">
        <v>0</v>
      </c>
      <c r="AV12" s="4">
        <f>33000+264000</f>
        <v>297000</v>
      </c>
      <c r="AW12" s="4">
        <v>2053600</v>
      </c>
      <c r="AX12" s="4">
        <f>408658+89178</f>
        <v>497836</v>
      </c>
      <c r="AY12" s="4">
        <f>35210+41800+162670+250750+69810+70340+59970+67140+49560+96270+17200+160600+99950+44390+371800+160000</f>
        <v>1757460</v>
      </c>
      <c r="AZ12" s="4">
        <f t="shared" si="27"/>
        <v>4565264</v>
      </c>
      <c r="BA12" s="4">
        <f t="shared" si="11"/>
        <v>7619952</v>
      </c>
      <c r="BB12" s="4">
        <f t="shared" si="21"/>
        <v>12204328</v>
      </c>
      <c r="BC12" s="4">
        <f>50000-19000+-28800</f>
        <v>2200</v>
      </c>
      <c r="BD12" s="6">
        <f>389457+1777286+138900+38000+500+766909+181090+184175+109222+977525</f>
        <v>4563064</v>
      </c>
      <c r="BE12" s="6">
        <v>0</v>
      </c>
      <c r="BF12" s="6">
        <v>0</v>
      </c>
      <c r="BG12" s="6">
        <v>0</v>
      </c>
      <c r="BH12" s="6">
        <v>0</v>
      </c>
      <c r="BI12" s="6">
        <f>138900+138206+342778</f>
        <v>619884</v>
      </c>
      <c r="BJ12" s="6">
        <v>0</v>
      </c>
      <c r="BK12" s="6">
        <v>0</v>
      </c>
      <c r="BL12" s="5">
        <f>18218+1257100+2151660</f>
        <v>3426978</v>
      </c>
      <c r="BM12" s="6">
        <v>0</v>
      </c>
      <c r="BN12" s="6">
        <f>38500+598000+1642000+64400+282000+736500</f>
        <v>3361400</v>
      </c>
      <c r="BO12" s="6">
        <v>0</v>
      </c>
      <c r="BP12" s="6">
        <v>0</v>
      </c>
      <c r="BQ12" s="6">
        <v>0</v>
      </c>
      <c r="BR12" s="6">
        <f>1004-1004+1000+200000+1004-1004+1000+1000+8690</f>
        <v>211690</v>
      </c>
    </row>
    <row r="13" spans="1:70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12"/>
        <v>-10630303</v>
      </c>
      <c r="J13" s="4">
        <f t="shared" si="22"/>
        <v>29961367</v>
      </c>
      <c r="K13" s="4">
        <f t="shared" si="2"/>
        <v>54602844</v>
      </c>
      <c r="L13" s="4">
        <f t="shared" si="3"/>
        <v>54316852</v>
      </c>
      <c r="M13" s="4">
        <f t="shared" si="13"/>
        <v>0</v>
      </c>
      <c r="N13" s="4">
        <f t="shared" si="4"/>
        <v>75233147</v>
      </c>
      <c r="O13" s="4">
        <f t="shared" si="14"/>
        <v>65893345</v>
      </c>
      <c r="P13" s="4">
        <f t="shared" si="5"/>
        <v>9053310</v>
      </c>
      <c r="Q13" s="4">
        <f t="shared" si="6"/>
        <v>-20630303</v>
      </c>
      <c r="R13" s="4">
        <f t="shared" si="7"/>
        <v>-15000000</v>
      </c>
      <c r="S13" s="4">
        <f t="shared" si="8"/>
        <v>25000000</v>
      </c>
      <c r="T13" s="4">
        <f t="shared" si="23"/>
        <v>58834957</v>
      </c>
      <c r="U13" s="4">
        <f t="shared" si="9"/>
        <v>59131161</v>
      </c>
      <c r="V13" s="4">
        <f t="shared" si="16"/>
        <v>-296204</v>
      </c>
      <c r="W13" s="4">
        <f t="shared" si="17"/>
        <v>28091138</v>
      </c>
      <c r="X13" s="4">
        <f t="shared" si="18"/>
        <v>48834957</v>
      </c>
      <c r="Y13" s="4">
        <f t="shared" si="10"/>
        <v>59131161</v>
      </c>
      <c r="Z13" s="4">
        <f t="shared" si="19"/>
        <v>-10296204</v>
      </c>
      <c r="AA13" s="4">
        <v>0</v>
      </c>
      <c r="AB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AC13" s="4">
        <v>10000000</v>
      </c>
      <c r="AD13" s="4">
        <v>0</v>
      </c>
      <c r="AE13" s="4">
        <v>0</v>
      </c>
      <c r="AF13" s="4">
        <f>-15000000-2400000-1000000+15000000+9000000+2400000+1000000+100000+273803-100000-9000500-273803</f>
        <v>-500</v>
      </c>
      <c r="AG13" s="4">
        <v>0</v>
      </c>
      <c r="AH13" s="4">
        <f>68000</f>
        <v>68000</v>
      </c>
      <c r="AI13" s="4">
        <v>165000</v>
      </c>
      <c r="AJ13" s="4">
        <v>0</v>
      </c>
      <c r="AK13" s="4">
        <v>0</v>
      </c>
      <c r="AL13" s="4">
        <f>2400000</f>
        <v>2400000</v>
      </c>
      <c r="AM13" s="4">
        <f>120000+600000+3985010+6322880+18199180+5254840+681090</f>
        <v>35163000</v>
      </c>
      <c r="AN13" s="4">
        <f>6110400+80000</f>
        <v>6190400</v>
      </c>
      <c r="AO13" s="4">
        <f>3093200+3379200</f>
        <v>6472400</v>
      </c>
      <c r="AP13" s="4">
        <v>0</v>
      </c>
      <c r="AQ13" s="4">
        <f>1484510+1331900</f>
        <v>2816410</v>
      </c>
      <c r="AR13" s="4">
        <v>0</v>
      </c>
      <c r="AS13" s="4">
        <v>0</v>
      </c>
      <c r="AT13" s="4">
        <v>0</v>
      </c>
      <c r="AU13" s="4">
        <v>1100000</v>
      </c>
      <c r="AV13" s="4">
        <f>65550+30570+88000</f>
        <v>184120</v>
      </c>
      <c r="AW13" s="4">
        <v>2693182</v>
      </c>
      <c r="AX13" s="4">
        <f>408658+86301</f>
        <v>494959</v>
      </c>
      <c r="AY13" s="4">
        <f>35210+41800+120000+250750+327930+269460+4480+1100+189480+15600+7490+7490+22000+90900</f>
        <v>1383690</v>
      </c>
      <c r="AZ13" s="4">
        <f t="shared" si="27"/>
        <v>5767887</v>
      </c>
      <c r="BA13" s="4">
        <f t="shared" si="11"/>
        <v>16101986</v>
      </c>
      <c r="BB13" s="4">
        <f t="shared" si="21"/>
        <v>1870229</v>
      </c>
      <c r="BC13" s="4">
        <v>-25000000</v>
      </c>
      <c r="BD13" s="6">
        <f>584205+2+4633843+98753+252084+199000</f>
        <v>5767887</v>
      </c>
      <c r="BE13" s="6">
        <f>25000000</f>
        <v>25000000</v>
      </c>
      <c r="BF13" s="6">
        <f>876020-876020</f>
        <v>0</v>
      </c>
      <c r="BG13" s="6">
        <v>0</v>
      </c>
      <c r="BH13" s="6">
        <v>0</v>
      </c>
      <c r="BI13" s="6">
        <f>58000+60492+100000</f>
        <v>218492</v>
      </c>
      <c r="BJ13" s="6">
        <v>0</v>
      </c>
      <c r="BK13" s="6">
        <v>11424</v>
      </c>
      <c r="BL13" s="5">
        <f>2033090+2320800+1649620</f>
        <v>6003510</v>
      </c>
      <c r="BM13" s="5">
        <f>64950+107740</f>
        <v>172690</v>
      </c>
      <c r="BN13" s="6">
        <f>445500+73150+199500+1943000+60000+175000+105600+408000+54000+4752500</f>
        <v>8216250</v>
      </c>
      <c r="BO13" s="6">
        <v>0</v>
      </c>
      <c r="BP13" s="6">
        <v>0</v>
      </c>
      <c r="BQ13" s="6">
        <v>400</v>
      </c>
      <c r="BR13" s="5">
        <f>29700-29700+56950+876000+20+110250+31000+100000+305000</f>
        <v>1479220</v>
      </c>
    </row>
    <row r="14" spans="1:70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12"/>
        <v>10024951</v>
      </c>
      <c r="J14" s="4">
        <f t="shared" si="22"/>
        <v>39986318</v>
      </c>
      <c r="K14" s="4">
        <f t="shared" si="2"/>
        <v>63708939</v>
      </c>
      <c r="L14" s="4">
        <f t="shared" si="3"/>
        <v>61955566</v>
      </c>
      <c r="M14" s="4">
        <f t="shared" si="13"/>
        <v>14740</v>
      </c>
      <c r="N14" s="4">
        <f t="shared" si="4"/>
        <v>53683988</v>
      </c>
      <c r="O14" s="4">
        <f t="shared" si="14"/>
        <v>51175825</v>
      </c>
      <c r="P14" s="4">
        <f t="shared" si="5"/>
        <v>769530</v>
      </c>
      <c r="Q14" s="4">
        <f t="shared" si="6"/>
        <v>10024951</v>
      </c>
      <c r="R14" s="4">
        <f t="shared" si="7"/>
        <v>0</v>
      </c>
      <c r="S14" s="4">
        <f t="shared" si="8"/>
        <v>0</v>
      </c>
      <c r="T14" s="4">
        <f t="shared" si="23"/>
        <v>53640508</v>
      </c>
      <c r="U14" s="4">
        <f t="shared" si="9"/>
        <v>48593019</v>
      </c>
      <c r="V14" s="4">
        <f t="shared" si="16"/>
        <v>5047489</v>
      </c>
      <c r="W14" s="4">
        <f t="shared" si="17"/>
        <v>33138627</v>
      </c>
      <c r="X14" s="4">
        <f t="shared" si="18"/>
        <v>53640508</v>
      </c>
      <c r="Y14" s="4">
        <f t="shared" si="10"/>
        <v>48593019</v>
      </c>
      <c r="Z14" s="4">
        <f t="shared" si="19"/>
        <v>5047489</v>
      </c>
      <c r="AA14" s="4">
        <v>0</v>
      </c>
      <c r="AB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AC14" s="4">
        <v>0</v>
      </c>
      <c r="AD14" s="4">
        <v>0</v>
      </c>
      <c r="AE14" s="4">
        <v>0</v>
      </c>
      <c r="AF14" s="4">
        <f>-30000000-30000000+30000000+30000000</f>
        <v>0</v>
      </c>
      <c r="AG14" s="4">
        <f>7205+24+3883</f>
        <v>11112</v>
      </c>
      <c r="AH14" s="4">
        <f>761175+180000</f>
        <v>941175</v>
      </c>
      <c r="AI14" s="4">
        <v>165000</v>
      </c>
      <c r="AJ14" s="4">
        <v>0</v>
      </c>
      <c r="AK14" s="4">
        <v>0</v>
      </c>
      <c r="AL14" s="4">
        <f>550000+1600000+1650000+550000</f>
        <v>4350000</v>
      </c>
      <c r="AM14" s="4">
        <f>210000+600000+4427140+30576920+1219660+894000+90000+600000+30000</f>
        <v>38647720</v>
      </c>
      <c r="AN14" s="4">
        <v>0</v>
      </c>
      <c r="AO14" s="4">
        <v>0</v>
      </c>
      <c r="AP14" s="4">
        <f>-2570+392520</f>
        <v>389950</v>
      </c>
      <c r="AQ14" s="4">
        <v>1369650</v>
      </c>
      <c r="AR14" s="4">
        <v>69000</v>
      </c>
      <c r="AS14" s="4">
        <v>0</v>
      </c>
      <c r="AT14" s="4">
        <v>53260</v>
      </c>
      <c r="AU14" s="4">
        <v>0</v>
      </c>
      <c r="AV14" s="4">
        <f>44220+44220</f>
        <v>88440</v>
      </c>
      <c r="AW14" s="4">
        <v>1369905</v>
      </c>
      <c r="AX14" s="4">
        <f>408658+92991</f>
        <v>501649</v>
      </c>
      <c r="AY14" s="4">
        <f>4400+35210+41800+250750+160600+39520+43230+8990+39770+3000+20000</f>
        <v>647270</v>
      </c>
      <c r="AZ14" s="4">
        <f t="shared" si="27"/>
        <v>10068431</v>
      </c>
      <c r="BA14" s="4">
        <f t="shared" si="11"/>
        <v>5090969</v>
      </c>
      <c r="BB14" s="4">
        <f t="shared" si="21"/>
        <v>6847691</v>
      </c>
      <c r="BC14" s="4">
        <v>0</v>
      </c>
      <c r="BD14" s="6">
        <f>7987857+1675363+237308+164275</f>
        <v>10064803</v>
      </c>
      <c r="BE14" s="6">
        <v>0</v>
      </c>
      <c r="BF14" s="6">
        <v>0</v>
      </c>
      <c r="BG14" s="6">
        <v>0</v>
      </c>
      <c r="BH14" s="6">
        <f>3419+209</f>
        <v>3628</v>
      </c>
      <c r="BI14" s="6">
        <f>255715+88778+99500+48000+305465</f>
        <v>797458</v>
      </c>
      <c r="BJ14" s="6">
        <v>0</v>
      </c>
      <c r="BK14" s="6">
        <v>88541</v>
      </c>
      <c r="BL14" s="5">
        <f>2033090</f>
        <v>2033090</v>
      </c>
      <c r="BM14" s="6">
        <v>0</v>
      </c>
      <c r="BN14" s="6">
        <f>1168500+56050+507000+66880+146300+213750</f>
        <v>2158480</v>
      </c>
      <c r="BO14" s="6">
        <v>0</v>
      </c>
      <c r="BP14" s="6">
        <v>0</v>
      </c>
      <c r="BQ14" s="6">
        <f>400+13000</f>
        <v>13400</v>
      </c>
      <c r="BR14" s="6">
        <v>0</v>
      </c>
    </row>
    <row r="15" spans="1:70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12"/>
        <v>-16823516</v>
      </c>
      <c r="J15" s="4">
        <f t="shared" si="22"/>
        <v>23162802</v>
      </c>
      <c r="K15" s="4">
        <f t="shared" si="2"/>
        <v>43079717</v>
      </c>
      <c r="L15" s="4">
        <f t="shared" si="3"/>
        <v>42056857</v>
      </c>
      <c r="M15" s="4">
        <f t="shared" si="13"/>
        <v>0</v>
      </c>
      <c r="N15" s="4">
        <f t="shared" si="4"/>
        <v>60903233</v>
      </c>
      <c r="O15" s="4">
        <f t="shared" si="14"/>
        <v>56306783</v>
      </c>
      <c r="P15" s="4">
        <f t="shared" si="5"/>
        <v>3573590</v>
      </c>
      <c r="Q15" s="4">
        <f t="shared" si="6"/>
        <v>-17823516</v>
      </c>
      <c r="R15" s="4">
        <f t="shared" si="7"/>
        <v>1000000</v>
      </c>
      <c r="S15" s="4">
        <f t="shared" si="8"/>
        <v>0</v>
      </c>
      <c r="T15" s="4">
        <f t="shared" si="23"/>
        <v>42003920</v>
      </c>
      <c r="U15" s="4">
        <f t="shared" si="9"/>
        <v>52798784</v>
      </c>
      <c r="V15" s="4">
        <f t="shared" si="16"/>
        <v>-10794864</v>
      </c>
      <c r="W15" s="4">
        <f t="shared" si="17"/>
        <v>22343763</v>
      </c>
      <c r="X15" s="4">
        <f t="shared" si="18"/>
        <v>42003920</v>
      </c>
      <c r="Y15" s="4">
        <f t="shared" si="10"/>
        <v>52798784</v>
      </c>
      <c r="Z15" s="4">
        <f t="shared" si="19"/>
        <v>-10794864</v>
      </c>
      <c r="AA15" s="4">
        <v>0</v>
      </c>
      <c r="AB15" s="4">
        <v>42003920</v>
      </c>
      <c r="AC15" s="4">
        <v>0</v>
      </c>
      <c r="AD15" s="4">
        <v>0</v>
      </c>
      <c r="AE15" s="4">
        <v>0</v>
      </c>
      <c r="AF15" s="4">
        <f>-40000000+40000000</f>
        <v>0</v>
      </c>
      <c r="AG15" s="4">
        <v>0</v>
      </c>
      <c r="AH15" s="4">
        <v>0</v>
      </c>
      <c r="AI15" s="4">
        <v>165000</v>
      </c>
      <c r="AJ15" s="4">
        <v>0</v>
      </c>
      <c r="AK15" s="4">
        <v>0</v>
      </c>
      <c r="AL15" s="4">
        <f>1600000+1650000+550000</f>
        <v>3800000</v>
      </c>
      <c r="AM15" s="4">
        <f>4182080+574290+31448200+941160+120000+600000</f>
        <v>37865730</v>
      </c>
      <c r="AN15" s="4">
        <v>183000</v>
      </c>
      <c r="AO15" s="4">
        <v>3300000</v>
      </c>
      <c r="AP15" s="4">
        <v>796010</v>
      </c>
      <c r="AQ15" s="4">
        <f>397000+168000</f>
        <v>565000</v>
      </c>
      <c r="AR15" s="4">
        <v>0</v>
      </c>
      <c r="AS15" s="5">
        <f>1383000+270000+240000</f>
        <v>1893000</v>
      </c>
      <c r="AT15" s="4">
        <v>60000</v>
      </c>
      <c r="AU15" s="4">
        <v>0</v>
      </c>
      <c r="AV15" s="4">
        <f>511500</f>
        <v>511500</v>
      </c>
      <c r="AW15" s="4">
        <v>1743050</v>
      </c>
      <c r="AX15" s="4">
        <f>408658+90246</f>
        <v>498904</v>
      </c>
      <c r="AY15" s="4">
        <f>35210+41800+250750+15000+160600+110230+385000+385000+34000</f>
        <v>1417590</v>
      </c>
      <c r="AZ15" s="4">
        <f t="shared" si="27"/>
        <v>2075797</v>
      </c>
      <c r="BA15" s="4">
        <f t="shared" si="11"/>
        <v>8104449</v>
      </c>
      <c r="BB15" s="4">
        <f t="shared" si="21"/>
        <v>819039</v>
      </c>
      <c r="BC15" s="4">
        <v>1000000</v>
      </c>
      <c r="BD15" s="6">
        <f>1045947+29850</f>
        <v>1075797</v>
      </c>
      <c r="BE15" s="6">
        <v>0</v>
      </c>
      <c r="BF15" s="6">
        <v>0</v>
      </c>
      <c r="BG15" s="6">
        <v>0</v>
      </c>
      <c r="BH15" s="6">
        <v>0</v>
      </c>
      <c r="BI15" s="6">
        <v>1022860</v>
      </c>
      <c r="BJ15" s="6">
        <v>0</v>
      </c>
      <c r="BK15" s="6">
        <v>84999</v>
      </c>
      <c r="BL15" s="5">
        <f>463430</f>
        <v>463430</v>
      </c>
      <c r="BM15" s="6">
        <v>0</v>
      </c>
      <c r="BN15" s="6">
        <f>4333950+66880+120770+11160+1980000</f>
        <v>6512760</v>
      </c>
      <c r="BO15" s="6">
        <v>0</v>
      </c>
      <c r="BP15" s="6">
        <v>0</v>
      </c>
      <c r="BQ15" s="6">
        <v>400</v>
      </c>
      <c r="BR15" s="5">
        <v>20000</v>
      </c>
    </row>
    <row r="16" spans="1:70">
      <c r="A16">
        <v>2023</v>
      </c>
      <c r="B16">
        <v>8</v>
      </c>
      <c r="C16">
        <v>16</v>
      </c>
      <c r="D16">
        <v>45</v>
      </c>
      <c r="E16">
        <v>27</v>
      </c>
      <c r="F16">
        <v>32</v>
      </c>
      <c r="G16" s="4">
        <f t="shared" si="0"/>
        <v>94153073</v>
      </c>
      <c r="H16" s="4">
        <f t="shared" si="1"/>
        <v>63462268</v>
      </c>
      <c r="I16" s="4">
        <f t="shared" si="12"/>
        <v>30690805</v>
      </c>
      <c r="J16" s="4">
        <f t="shared" si="22"/>
        <v>53853607</v>
      </c>
      <c r="K16" s="4">
        <f t="shared" si="2"/>
        <v>54153073</v>
      </c>
      <c r="L16" s="4">
        <f t="shared" si="3"/>
        <v>48545575</v>
      </c>
      <c r="M16" s="4">
        <f t="shared" si="13"/>
        <v>264860</v>
      </c>
      <c r="N16" s="4">
        <f t="shared" si="4"/>
        <v>63462268</v>
      </c>
      <c r="O16" s="4">
        <f t="shared" si="14"/>
        <v>58125041</v>
      </c>
      <c r="P16" s="4">
        <f t="shared" si="5"/>
        <v>-5411</v>
      </c>
      <c r="Q16" s="4">
        <f t="shared" si="6"/>
        <v>-9309195</v>
      </c>
      <c r="R16" s="4">
        <f t="shared" si="7"/>
        <v>-10000000</v>
      </c>
      <c r="S16" s="4">
        <f t="shared" si="8"/>
        <v>0</v>
      </c>
      <c r="T16" s="4">
        <f t="shared" si="23"/>
        <v>80419656</v>
      </c>
      <c r="U16" s="4">
        <f t="shared" si="9"/>
        <v>60930038</v>
      </c>
      <c r="V16" s="4">
        <f t="shared" si="16"/>
        <v>19489618</v>
      </c>
      <c r="W16" s="4">
        <f t="shared" si="17"/>
        <v>41833381</v>
      </c>
      <c r="X16" s="4">
        <f t="shared" si="18"/>
        <v>40419656</v>
      </c>
      <c r="Y16" s="4">
        <f t="shared" si="10"/>
        <v>60930038</v>
      </c>
      <c r="Z16" s="4">
        <f t="shared" si="19"/>
        <v>-20510382</v>
      </c>
      <c r="AA16" s="4">
        <f>30000000+20000000</f>
        <v>50000000</v>
      </c>
      <c r="AB16" s="4">
        <v>40154796</v>
      </c>
      <c r="AC16" s="4">
        <f>-10000000</f>
        <v>-10000000</v>
      </c>
      <c r="AD16" s="4">
        <v>0</v>
      </c>
      <c r="AE16" s="4">
        <v>0</v>
      </c>
      <c r="AF16" s="4">
        <f>-20000000-9000000+1000000+20000000+9000000-1000000</f>
        <v>0</v>
      </c>
      <c r="AG16" s="4">
        <f>4000+260860</f>
        <v>264860</v>
      </c>
      <c r="AH16" s="4">
        <f>1804930+1782543</f>
        <v>3587473</v>
      </c>
      <c r="AI16" s="4">
        <f>165000+809240</f>
        <v>974240</v>
      </c>
      <c r="AJ16" s="4">
        <v>352000</v>
      </c>
      <c r="AK16" s="4">
        <f>-2168401</f>
        <v>-2168401</v>
      </c>
      <c r="AL16" s="4">
        <f>1600000+720000+1650000+550000</f>
        <v>4520000</v>
      </c>
      <c r="AM16" s="4">
        <f>425480+600000+3508960+1800000+31834330+600000+120000</f>
        <v>38888770</v>
      </c>
      <c r="AN16" s="4">
        <v>0</v>
      </c>
      <c r="AO16" s="4">
        <v>4281200</v>
      </c>
      <c r="AP16" s="4">
        <f>786380+32000</f>
        <v>818380</v>
      </c>
      <c r="AQ16" s="4">
        <f>1910380+2287100</f>
        <v>4197480</v>
      </c>
      <c r="AR16" s="4">
        <v>0</v>
      </c>
      <c r="AS16" s="4">
        <v>481680</v>
      </c>
      <c r="AT16" s="4">
        <v>0</v>
      </c>
      <c r="AU16" s="4">
        <v>770000</v>
      </c>
      <c r="AV16" s="4">
        <v>0</v>
      </c>
      <c r="AW16" s="4">
        <v>2395994</v>
      </c>
      <c r="AX16" s="4">
        <f>408658+93254</f>
        <v>501912</v>
      </c>
      <c r="AY16" s="4">
        <f>35210+41800+250750+192000+45980+32270+52760+1000+241410+29130+22000+385000</f>
        <v>1329310</v>
      </c>
      <c r="AZ16" s="4">
        <f>SUM(BC16:BH16)</f>
        <v>13733417</v>
      </c>
      <c r="BA16" s="4">
        <f t="shared" si="11"/>
        <v>2532230</v>
      </c>
      <c r="BB16" s="4">
        <f t="shared" si="21"/>
        <v>12020226</v>
      </c>
      <c r="BC16" s="4">
        <v>0</v>
      </c>
      <c r="BD16" s="6">
        <f>11325717+1028000+30000+444850+904850</f>
        <v>13733417</v>
      </c>
      <c r="BE16" s="6">
        <v>0</v>
      </c>
      <c r="BF16" s="6">
        <v>0</v>
      </c>
      <c r="BG16" s="6">
        <v>0</v>
      </c>
      <c r="BH16" s="6">
        <v>0</v>
      </c>
      <c r="BI16" s="6">
        <f>25000+210972+103480+415340+1000373</f>
        <v>1755165</v>
      </c>
      <c r="BJ16" s="6">
        <v>0</v>
      </c>
      <c r="BK16" s="6">
        <v>86417</v>
      </c>
      <c r="BL16" s="5">
        <f>7000</f>
        <v>7000</v>
      </c>
      <c r="BM16" s="6">
        <v>0</v>
      </c>
      <c r="BN16" s="6">
        <f>536648+18000*5+19000*3</f>
        <v>683648</v>
      </c>
      <c r="BO16" s="6">
        <v>0</v>
      </c>
      <c r="BP16" s="6">
        <v>0</v>
      </c>
      <c r="BQ16" s="6">
        <v>0</v>
      </c>
      <c r="BR16" s="6">
        <v>0</v>
      </c>
    </row>
    <row r="17" spans="1:70">
      <c r="A17">
        <v>2023</v>
      </c>
      <c r="B17">
        <v>9</v>
      </c>
      <c r="C17">
        <v>16</v>
      </c>
      <c r="D17">
        <v>43</v>
      </c>
      <c r="E17">
        <v>29</v>
      </c>
      <c r="F17">
        <v>39</v>
      </c>
      <c r="G17" s="4">
        <f t="shared" si="0"/>
        <v>48838702</v>
      </c>
      <c r="H17" s="4">
        <f t="shared" si="1"/>
        <v>78266574</v>
      </c>
      <c r="I17" s="4">
        <f t="shared" si="12"/>
        <v>-29427872</v>
      </c>
      <c r="J17" s="4">
        <f t="shared" si="22"/>
        <v>24425735</v>
      </c>
      <c r="K17" s="4">
        <f t="shared" si="2"/>
        <v>59838702</v>
      </c>
      <c r="L17" s="4">
        <f t="shared" si="3"/>
        <v>58518504</v>
      </c>
      <c r="M17" s="4">
        <f t="shared" si="13"/>
        <v>3330</v>
      </c>
      <c r="N17" s="4">
        <f t="shared" si="4"/>
        <v>78266574</v>
      </c>
      <c r="O17" s="4">
        <f t="shared" si="14"/>
        <v>72208636</v>
      </c>
      <c r="P17" s="4">
        <f t="shared" si="5"/>
        <v>4741070</v>
      </c>
      <c r="Q17" s="4">
        <f t="shared" si="6"/>
        <v>-18427872</v>
      </c>
      <c r="R17" s="4">
        <f t="shared" si="7"/>
        <v>-11000000</v>
      </c>
      <c r="S17" s="4">
        <f t="shared" si="8"/>
        <v>0</v>
      </c>
      <c r="T17" s="4">
        <f t="shared" si="23"/>
        <v>42215175</v>
      </c>
      <c r="U17" s="4">
        <f t="shared" si="9"/>
        <v>63670365</v>
      </c>
      <c r="V17" s="4">
        <f t="shared" si="16"/>
        <v>-21455190</v>
      </c>
      <c r="W17" s="4">
        <f t="shared" si="17"/>
        <v>20378191</v>
      </c>
      <c r="X17" s="4">
        <f t="shared" si="18"/>
        <v>42215175</v>
      </c>
      <c r="Y17" s="4">
        <f t="shared" si="10"/>
        <v>63670365</v>
      </c>
      <c r="Z17" s="4">
        <f t="shared" si="19"/>
        <v>-21455190</v>
      </c>
      <c r="AA17" s="4">
        <v>0</v>
      </c>
      <c r="AB17" s="4">
        <v>42215175</v>
      </c>
      <c r="AC17" s="4">
        <v>0</v>
      </c>
      <c r="AD17" s="4">
        <v>0</v>
      </c>
      <c r="AE17" s="4">
        <v>0</v>
      </c>
      <c r="AF17" s="4">
        <f>-100000+100000</f>
        <v>0</v>
      </c>
      <c r="AG17" s="4">
        <v>0</v>
      </c>
      <c r="AH17" s="4">
        <v>197000</v>
      </c>
      <c r="AI17" s="4">
        <v>165000</v>
      </c>
      <c r="AJ17" s="4">
        <v>0</v>
      </c>
      <c r="AK17" s="4">
        <v>0</v>
      </c>
      <c r="AL17" s="4">
        <f>880000+880000+2750000+550000+1650000</f>
        <v>6710000</v>
      </c>
      <c r="AM17" s="4">
        <f>5321970+34515920+1200000+600000+120000</f>
        <v>41757890</v>
      </c>
      <c r="AN17" s="4">
        <v>0</v>
      </c>
      <c r="AO17" s="4">
        <v>4648600</v>
      </c>
      <c r="AP17" s="4">
        <v>834360</v>
      </c>
      <c r="AQ17" s="4">
        <f>-35240+2538030</f>
        <v>2502790</v>
      </c>
      <c r="AR17" s="4">
        <v>0</v>
      </c>
      <c r="AS17" s="4">
        <v>0</v>
      </c>
      <c r="AT17" s="4">
        <v>0</v>
      </c>
      <c r="AU17" s="4">
        <v>2200000</v>
      </c>
      <c r="AV17" s="4">
        <f>16200</f>
        <v>16200</v>
      </c>
      <c r="AW17" s="4">
        <v>2694557</v>
      </c>
      <c r="AX17" s="4">
        <f>408658+94240</f>
        <v>502898</v>
      </c>
      <c r="AY17" s="4">
        <f>35210+41800+43950+40000+250750+43300+385000+160600+68730+14190+236500+41040+80000</f>
        <v>1441070</v>
      </c>
      <c r="AZ17" s="4">
        <f t="shared" si="27"/>
        <v>6623527</v>
      </c>
      <c r="BA17" s="4">
        <f t="shared" si="11"/>
        <v>14596209</v>
      </c>
      <c r="BB17" s="4">
        <f t="shared" si="21"/>
        <v>4047544</v>
      </c>
      <c r="BC17" s="4">
        <f>2000000+3000000+2000000-18000000</f>
        <v>-11000000</v>
      </c>
      <c r="BD17" s="6">
        <f>17427664+192533</f>
        <v>17620197</v>
      </c>
      <c r="BE17" s="6">
        <v>0</v>
      </c>
      <c r="BF17" s="6">
        <v>0</v>
      </c>
      <c r="BG17" s="6">
        <v>0</v>
      </c>
      <c r="BH17" s="6">
        <f>3000+330</f>
        <v>3330</v>
      </c>
      <c r="BI17" s="6">
        <f>923360+196508</f>
        <v>1119868</v>
      </c>
      <c r="BJ17" s="6">
        <v>0</v>
      </c>
      <c r="BK17" s="6">
        <v>86417</v>
      </c>
      <c r="BL17" s="6">
        <v>0</v>
      </c>
      <c r="BM17" s="6">
        <v>0</v>
      </c>
      <c r="BN17" s="6">
        <f>28960+1832000+114000+338000+508750+432500+1721000+133760+2233050+418000+540000+492000+611000+546000</f>
        <v>9949020</v>
      </c>
      <c r="BO17" s="6">
        <v>0</v>
      </c>
      <c r="BP17" s="6">
        <v>0</v>
      </c>
      <c r="BQ17" s="6">
        <v>140904</v>
      </c>
      <c r="BR17" s="6">
        <f>3300000</f>
        <v>3300000</v>
      </c>
    </row>
    <row r="18" spans="1:70">
      <c r="A18">
        <v>2023</v>
      </c>
      <c r="B18">
        <v>10</v>
      </c>
      <c r="C18">
        <v>17</v>
      </c>
      <c r="D18">
        <v>43</v>
      </c>
      <c r="E18">
        <v>24</v>
      </c>
      <c r="F18">
        <v>42</v>
      </c>
      <c r="G18" s="4">
        <f t="shared" si="0"/>
        <v>66229876</v>
      </c>
      <c r="H18" s="4">
        <f t="shared" si="1"/>
        <v>78558488</v>
      </c>
      <c r="I18" s="4">
        <f t="shared" si="12"/>
        <v>-12328612</v>
      </c>
      <c r="J18" s="4">
        <f t="shared" si="22"/>
        <v>12097123</v>
      </c>
      <c r="K18" s="4">
        <f t="shared" si="2"/>
        <v>39729876</v>
      </c>
      <c r="L18" s="4">
        <f t="shared" si="3"/>
        <v>37809104</v>
      </c>
      <c r="M18" s="4">
        <f t="shared" si="13"/>
        <v>1800000</v>
      </c>
      <c r="N18" s="4">
        <f t="shared" si="4"/>
        <v>78558488</v>
      </c>
      <c r="O18" s="4">
        <f t="shared" si="14"/>
        <v>77150058</v>
      </c>
      <c r="P18" s="4">
        <f t="shared" si="5"/>
        <v>1107658</v>
      </c>
      <c r="Q18" s="4">
        <f t="shared" si="6"/>
        <v>-38828612</v>
      </c>
      <c r="R18" s="4">
        <f t="shared" si="7"/>
        <v>1500000</v>
      </c>
      <c r="S18" s="4">
        <f t="shared" si="8"/>
        <v>0</v>
      </c>
      <c r="T18" s="4">
        <f t="shared" si="23"/>
        <v>63931114</v>
      </c>
      <c r="U18" s="4">
        <f t="shared" si="9"/>
        <v>75482670</v>
      </c>
      <c r="V18" s="4">
        <f t="shared" si="16"/>
        <v>-11551556</v>
      </c>
      <c r="W18" s="4">
        <f t="shared" si="17"/>
        <v>8826635</v>
      </c>
      <c r="X18" s="4">
        <f t="shared" si="18"/>
        <v>38931114</v>
      </c>
      <c r="Y18" s="4">
        <f t="shared" si="10"/>
        <v>75482670</v>
      </c>
      <c r="Z18" s="4">
        <f t="shared" si="19"/>
        <v>-36551556</v>
      </c>
      <c r="AA18" s="4">
        <f>20000000+5000000</f>
        <v>25000000</v>
      </c>
      <c r="AB18" s="4">
        <v>37311114</v>
      </c>
      <c r="AC18" s="4">
        <v>0</v>
      </c>
      <c r="AD18" s="4">
        <v>0</v>
      </c>
      <c r="AE18" s="4">
        <v>0</v>
      </c>
      <c r="AF18" s="4">
        <f>-100000-180000+100000</f>
        <v>-180000</v>
      </c>
      <c r="AG18" s="4">
        <v>1800000</v>
      </c>
      <c r="AH18" s="4">
        <v>0</v>
      </c>
      <c r="AI18" s="4">
        <v>165000</v>
      </c>
      <c r="AJ18" s="4">
        <v>0</v>
      </c>
      <c r="AK18" s="4">
        <v>0</v>
      </c>
      <c r="AL18" s="4">
        <f>880000*2+21120000+1650000+550000</f>
        <v>25080000</v>
      </c>
      <c r="AM18" s="4">
        <f>4007160+67690+32808750+1000000+600000+1200000+90000</f>
        <v>39773600</v>
      </c>
      <c r="AN18" s="4">
        <v>0</v>
      </c>
      <c r="AO18" s="4">
        <v>3128400</v>
      </c>
      <c r="AP18" s="4">
        <v>855020</v>
      </c>
      <c r="AQ18" s="4">
        <v>2347450</v>
      </c>
      <c r="AR18" s="4">
        <v>0</v>
      </c>
      <c r="AS18" s="4">
        <v>0</v>
      </c>
      <c r="AT18" s="4">
        <v>0</v>
      </c>
      <c r="AU18" s="4">
        <v>0</v>
      </c>
      <c r="AV18" s="4">
        <f>113400+113400-112900+117270</f>
        <v>231170</v>
      </c>
      <c r="AW18" s="4">
        <v>2306840</v>
      </c>
      <c r="AX18" s="4">
        <f>408658+91232</f>
        <v>499890</v>
      </c>
      <c r="AY18" s="4">
        <f>35210+41800+250750+4400+160600+31119+120000+33421+198000+220000</f>
        <v>1095300</v>
      </c>
      <c r="AZ18" s="4">
        <f t="shared" si="27"/>
        <v>2298762</v>
      </c>
      <c r="BA18" s="4">
        <f t="shared" si="11"/>
        <v>3075818</v>
      </c>
      <c r="BB18" s="4">
        <f t="shared" si="21"/>
        <v>3270488</v>
      </c>
      <c r="BC18" s="4">
        <v>1500000</v>
      </c>
      <c r="BD18" s="6">
        <v>798762</v>
      </c>
      <c r="BE18" s="6">
        <v>0</v>
      </c>
      <c r="BF18" s="6">
        <v>0</v>
      </c>
      <c r="BG18" s="6">
        <v>0</v>
      </c>
      <c r="BH18" s="6">
        <v>0</v>
      </c>
      <c r="BI18" s="6">
        <f>270922+29850</f>
        <v>300772</v>
      </c>
      <c r="BJ18" s="6">
        <v>0</v>
      </c>
      <c r="BK18" s="6">
        <v>85958</v>
      </c>
      <c r="BL18" s="6">
        <v>0</v>
      </c>
      <c r="BM18" s="6">
        <v>0</v>
      </c>
      <c r="BN18" s="6">
        <f>14000+14480+299250+374000+255000+36000+1684000</f>
        <v>2676730</v>
      </c>
      <c r="BO18" s="6">
        <v>0</v>
      </c>
      <c r="BP18" s="6">
        <v>0</v>
      </c>
      <c r="BQ18" s="6">
        <v>0</v>
      </c>
      <c r="BR18" s="6">
        <v>12358</v>
      </c>
    </row>
    <row r="19" spans="1:70">
      <c r="A19">
        <v>2023</v>
      </c>
      <c r="B19">
        <v>11</v>
      </c>
      <c r="C19">
        <v>17</v>
      </c>
      <c r="D19">
        <v>43</v>
      </c>
      <c r="E19">
        <v>23</v>
      </c>
      <c r="F19">
        <v>46</v>
      </c>
      <c r="G19" s="4">
        <f t="shared" si="0"/>
        <v>90384775</v>
      </c>
      <c r="H19" s="4">
        <f t="shared" si="1"/>
        <v>66264797</v>
      </c>
      <c r="I19" s="4">
        <f t="shared" si="12"/>
        <v>24119978</v>
      </c>
      <c r="J19" s="4">
        <f t="shared" si="22"/>
        <v>36217101</v>
      </c>
      <c r="K19" s="4">
        <f t="shared" si="2"/>
        <v>88371055</v>
      </c>
      <c r="L19" s="4">
        <f t="shared" si="3"/>
        <v>86175016</v>
      </c>
      <c r="M19" s="4">
        <f t="shared" si="13"/>
        <v>39</v>
      </c>
      <c r="N19" s="4">
        <f t="shared" si="4"/>
        <v>66264797</v>
      </c>
      <c r="O19" s="4">
        <f t="shared" si="14"/>
        <v>60480677</v>
      </c>
      <c r="P19" s="4">
        <f t="shared" si="5"/>
        <v>3588120</v>
      </c>
      <c r="Q19" s="4">
        <f t="shared" si="6"/>
        <v>22106258</v>
      </c>
      <c r="R19" s="4">
        <f t="shared" si="7"/>
        <v>2013720</v>
      </c>
      <c r="S19" s="4">
        <f t="shared" si="8"/>
        <v>0</v>
      </c>
      <c r="T19" s="4">
        <f t="shared" si="23"/>
        <v>83239997</v>
      </c>
      <c r="U19" s="4">
        <f t="shared" si="9"/>
        <v>63390141</v>
      </c>
      <c r="V19" s="4">
        <f t="shared" si="16"/>
        <v>19849856</v>
      </c>
      <c r="W19" s="4">
        <f t="shared" si="17"/>
        <v>28676491</v>
      </c>
      <c r="X19" s="4">
        <f t="shared" si="18"/>
        <v>83239997</v>
      </c>
      <c r="Y19" s="4">
        <f t="shared" si="10"/>
        <v>63390141</v>
      </c>
      <c r="Z19" s="4">
        <f t="shared" si="19"/>
        <v>19849856</v>
      </c>
      <c r="AA19" s="4">
        <v>0</v>
      </c>
      <c r="AB19" s="4">
        <v>83239958</v>
      </c>
      <c r="AC19" s="4">
        <v>0</v>
      </c>
      <c r="AD19" s="4">
        <v>0</v>
      </c>
      <c r="AE19" s="4">
        <v>0</v>
      </c>
      <c r="AF19" s="4">
        <f>-100000+100000</f>
        <v>0</v>
      </c>
      <c r="AG19" s="4">
        <v>39</v>
      </c>
      <c r="AH19" s="4">
        <f>1098000+1098000</f>
        <v>2196000</v>
      </c>
      <c r="AI19" s="4">
        <f>165000+264000</f>
        <v>429000</v>
      </c>
      <c r="AJ19" s="4">
        <v>0</v>
      </c>
      <c r="AK19" s="4">
        <f>500000+500000</f>
        <v>1000000</v>
      </c>
      <c r="AL19" s="4">
        <f>880000*2+1650000+3520000+550000</f>
        <v>7480000</v>
      </c>
      <c r="AM19" s="4">
        <f>-120000+5604750+29010+101540+145050+31306090+2391570+600000+150000+480000</f>
        <v>40688010</v>
      </c>
      <c r="AN19" s="4">
        <v>0</v>
      </c>
      <c r="AO19" s="4">
        <v>3044800</v>
      </c>
      <c r="AP19" s="4">
        <v>814130</v>
      </c>
      <c r="AQ19" s="4">
        <v>1643280</v>
      </c>
      <c r="AR19" s="4">
        <v>839000</v>
      </c>
      <c r="AS19" s="4">
        <v>0</v>
      </c>
      <c r="AT19" s="4">
        <v>0</v>
      </c>
      <c r="AU19" s="4">
        <v>1100000</v>
      </c>
      <c r="AV19" s="4">
        <v>0</v>
      </c>
      <c r="AW19" s="4">
        <v>2903870</v>
      </c>
      <c r="AX19" s="4">
        <f>408658+94273</f>
        <v>502931</v>
      </c>
      <c r="AY19" s="4">
        <f>35210+41800+220000+250750-12100+160600+52860</f>
        <v>749120</v>
      </c>
      <c r="AZ19" s="4">
        <f t="shared" si="27"/>
        <v>7144778</v>
      </c>
      <c r="BA19" s="4">
        <f t="shared" si="11"/>
        <v>2874656</v>
      </c>
      <c r="BB19" s="4">
        <f t="shared" si="21"/>
        <v>7540610</v>
      </c>
      <c r="BC19" s="4">
        <f>-86280+1000000+1000000+100000</f>
        <v>2013720</v>
      </c>
      <c r="BD19" s="6">
        <v>5131058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93636</v>
      </c>
      <c r="BL19" s="5">
        <v>169320</v>
      </c>
      <c r="BM19" s="6">
        <v>0</v>
      </c>
      <c r="BN19" s="6">
        <f>190000+247000+237500+142500+572000+193800+28500</f>
        <v>1611300</v>
      </c>
      <c r="BO19" s="6">
        <v>1000000</v>
      </c>
      <c r="BP19" s="6">
        <v>0</v>
      </c>
      <c r="BQ19" s="6">
        <v>400</v>
      </c>
      <c r="BR19" s="6">
        <v>0</v>
      </c>
    </row>
    <row r="20" spans="1:70">
      <c r="A20">
        <v>2023</v>
      </c>
      <c r="B20">
        <v>12</v>
      </c>
      <c r="C20">
        <v>16</v>
      </c>
      <c r="D20">
        <v>25</v>
      </c>
      <c r="E20">
        <v>21</v>
      </c>
      <c r="F20">
        <v>46</v>
      </c>
      <c r="G20" s="4">
        <f t="shared" si="0"/>
        <v>65082249</v>
      </c>
      <c r="H20" s="4">
        <f t="shared" si="1"/>
        <v>81550875</v>
      </c>
      <c r="I20" s="4">
        <f t="shared" si="12"/>
        <v>-16468626</v>
      </c>
      <c r="J20" s="4">
        <f t="shared" si="22"/>
        <v>19748475</v>
      </c>
      <c r="K20" s="4">
        <f t="shared" si="2"/>
        <v>54582249</v>
      </c>
      <c r="L20" s="4">
        <f t="shared" si="3"/>
        <v>47627351</v>
      </c>
      <c r="M20" s="4">
        <f t="shared" si="13"/>
        <v>17168</v>
      </c>
      <c r="N20" s="4">
        <f t="shared" si="4"/>
        <v>81550875</v>
      </c>
      <c r="O20" s="4">
        <f t="shared" si="14"/>
        <v>59276955</v>
      </c>
      <c r="P20" s="4">
        <f t="shared" si="5"/>
        <v>15336190</v>
      </c>
      <c r="Q20" s="4">
        <f t="shared" si="6"/>
        <v>-26968626</v>
      </c>
      <c r="R20" s="4">
        <f t="shared" si="7"/>
        <v>-4500000</v>
      </c>
      <c r="S20" s="4">
        <f t="shared" si="8"/>
        <v>0</v>
      </c>
      <c r="T20" s="4">
        <f t="shared" si="23"/>
        <v>64313732</v>
      </c>
      <c r="U20" s="4">
        <f t="shared" si="9"/>
        <v>77087359</v>
      </c>
      <c r="V20" s="4">
        <f t="shared" si="16"/>
        <v>-12773627</v>
      </c>
      <c r="W20" s="4">
        <f t="shared" si="17"/>
        <v>15902864</v>
      </c>
      <c r="X20" s="4">
        <f t="shared" si="18"/>
        <v>49313732</v>
      </c>
      <c r="Y20" s="4">
        <f t="shared" si="10"/>
        <v>77087359</v>
      </c>
      <c r="Z20" s="4">
        <f t="shared" si="19"/>
        <v>-27773627</v>
      </c>
      <c r="AA20" s="4">
        <v>15000000</v>
      </c>
      <c r="AB20" s="4">
        <v>49298666</v>
      </c>
      <c r="AC20" s="4">
        <v>0</v>
      </c>
      <c r="AD20" s="4">
        <v>0</v>
      </c>
      <c r="AE20" s="4">
        <v>0</v>
      </c>
      <c r="AF20" s="4">
        <f>-10000000-10000000-30000000-5000000-4000000+10000000+10000000-100000+30000000+5000000+4000000+100000</f>
        <v>0</v>
      </c>
      <c r="AG20" s="4">
        <f>8911+6154+1</f>
        <v>15066</v>
      </c>
      <c r="AH20" s="4">
        <f>1098000*5+1048730</f>
        <v>6538730</v>
      </c>
      <c r="AI20" s="4">
        <f>165000+264000+286000+1500000</f>
        <v>2215000</v>
      </c>
      <c r="AJ20" s="4">
        <v>396000</v>
      </c>
      <c r="AK20" s="4">
        <f>500000+4500000+4500000+4500000</f>
        <v>14000000</v>
      </c>
      <c r="AL20" s="4">
        <f>550000+880000*2+1100000+605000+1650000+3520000+600000+550000</f>
        <v>10335000</v>
      </c>
      <c r="AM20" s="4">
        <f>290100+135380+4461110+25788150+2425870</f>
        <v>33100610</v>
      </c>
      <c r="AN20" s="4">
        <v>0</v>
      </c>
      <c r="AO20" s="4">
        <v>3509000</v>
      </c>
      <c r="AP20" s="4">
        <f>812390+175640</f>
        <v>988030</v>
      </c>
      <c r="AQ20" s="4">
        <f>1641160</f>
        <v>1641160</v>
      </c>
      <c r="AR20" s="4">
        <v>0</v>
      </c>
      <c r="AS20" s="4">
        <v>0</v>
      </c>
      <c r="AT20" s="4">
        <v>0</v>
      </c>
      <c r="AU20" s="4">
        <v>0</v>
      </c>
      <c r="AV20" s="4">
        <v>240000</v>
      </c>
      <c r="AW20" s="4">
        <v>2969543</v>
      </c>
      <c r="AX20" s="4">
        <f>408658+94438</f>
        <v>503096</v>
      </c>
      <c r="AY20" s="4">
        <f>35210+41800+6000+250750+70000+160600+78770+8060</f>
        <v>651190</v>
      </c>
      <c r="AZ20" s="4">
        <f t="shared" si="27"/>
        <v>768517</v>
      </c>
      <c r="BA20" s="4">
        <f t="shared" si="11"/>
        <v>4463516</v>
      </c>
      <c r="BB20" s="4">
        <f t="shared" si="21"/>
        <v>3845611</v>
      </c>
      <c r="BC20" s="4">
        <v>-4500000</v>
      </c>
      <c r="BD20" s="6">
        <f>4652577+177033+199995+76615+160195</f>
        <v>5266415</v>
      </c>
      <c r="BE20" s="6">
        <v>0</v>
      </c>
      <c r="BF20" s="6">
        <v>0</v>
      </c>
      <c r="BG20" s="6">
        <v>0</v>
      </c>
      <c r="BH20" s="6">
        <f>1495+607</f>
        <v>2102</v>
      </c>
      <c r="BI20" s="6">
        <f>399000</f>
        <v>399000</v>
      </c>
      <c r="BJ20" s="6">
        <v>0</v>
      </c>
      <c r="BK20" s="6">
        <v>90616</v>
      </c>
      <c r="BL20" s="6">
        <v>0</v>
      </c>
      <c r="BM20" s="6">
        <v>0</v>
      </c>
      <c r="BN20" s="6">
        <f>3314000+87000+247000</f>
        <v>3648000</v>
      </c>
      <c r="BO20" s="6">
        <v>0</v>
      </c>
      <c r="BP20" s="6">
        <v>0</v>
      </c>
      <c r="BQ20" s="6">
        <f>400+36500</f>
        <v>36900</v>
      </c>
      <c r="BR20" s="5">
        <f>40000+189000+60000</f>
        <v>289000</v>
      </c>
    </row>
    <row r="21" spans="1:70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12"/>
        <v>-10209224</v>
      </c>
      <c r="J21" s="4">
        <f t="shared" si="22"/>
        <v>9539251</v>
      </c>
      <c r="K21" s="4">
        <f t="shared" si="2"/>
        <v>52805073</v>
      </c>
      <c r="L21" s="4">
        <f t="shared" si="3"/>
        <v>46639305</v>
      </c>
      <c r="M21" s="4">
        <f t="shared" si="13"/>
        <v>1800000</v>
      </c>
      <c r="N21" s="4">
        <f t="shared" si="4"/>
        <v>87504297</v>
      </c>
      <c r="O21" s="4">
        <f t="shared" si="14"/>
        <v>81927379</v>
      </c>
      <c r="P21" s="4">
        <f t="shared" si="5"/>
        <v>1721150</v>
      </c>
      <c r="Q21" s="4">
        <f t="shared" si="6"/>
        <v>-34699224</v>
      </c>
      <c r="R21" s="4">
        <f t="shared" si="7"/>
        <v>25000000</v>
      </c>
      <c r="S21" s="4">
        <f t="shared" si="8"/>
        <v>0</v>
      </c>
      <c r="T21" s="4">
        <f t="shared" si="23"/>
        <v>75171798</v>
      </c>
      <c r="U21" s="4">
        <f t="shared" si="9"/>
        <v>82901180</v>
      </c>
      <c r="V21" s="4">
        <f t="shared" si="16"/>
        <v>-7729382</v>
      </c>
      <c r="W21" s="4">
        <f t="shared" si="17"/>
        <v>8173482</v>
      </c>
      <c r="X21" s="4">
        <f t="shared" si="18"/>
        <v>50661798</v>
      </c>
      <c r="Y21" s="4">
        <f t="shared" si="10"/>
        <v>82901180</v>
      </c>
      <c r="Z21" s="4">
        <f t="shared" si="19"/>
        <v>-32239382</v>
      </c>
      <c r="AA21" s="4">
        <v>0</v>
      </c>
      <c r="AB21" s="4">
        <f>28882529+19979269</f>
        <v>48861798</v>
      </c>
      <c r="AC21" s="4">
        <f>1000000+4000000+17000000+1000000+1000000</f>
        <v>24000000</v>
      </c>
      <c r="AD21" s="4">
        <f>510000</f>
        <v>510000</v>
      </c>
      <c r="AE21" s="4">
        <v>0</v>
      </c>
      <c r="AF21" s="4">
        <f>-20000000-18000000+4000000-3000000-6000000-300000-9000000+20000000+18000000-100000-4000000+3000000+6000000+300000+9000000+100000</f>
        <v>0</v>
      </c>
      <c r="AG21" s="4">
        <v>1800000</v>
      </c>
      <c r="AH21" s="4">
        <f>1092510+1080000+289000+296258+1098000</f>
        <v>3855768</v>
      </c>
      <c r="AI21" s="4">
        <f>165000</f>
        <v>165000</v>
      </c>
      <c r="AJ21" s="4">
        <v>0</v>
      </c>
      <c r="AK21" s="4">
        <v>0</v>
      </c>
      <c r="AL21" s="4">
        <f>550000+1760000+1760000+550000+19635000+1650000+3520000+600000+550000+550000</f>
        <v>31125000</v>
      </c>
      <c r="AM21" s="4">
        <f>600000+90000+348120+8652840+25221280+600000+960000+120000</f>
        <v>36592240</v>
      </c>
      <c r="AN21" s="4">
        <v>0</v>
      </c>
      <c r="AO21" s="4">
        <v>0</v>
      </c>
      <c r="AP21" s="4">
        <f>466740+34000</f>
        <v>500740</v>
      </c>
      <c r="AQ21" s="4">
        <f>1722840+18030</f>
        <v>1740870</v>
      </c>
      <c r="AR21" s="4">
        <v>0</v>
      </c>
      <c r="AS21" s="4">
        <v>0</v>
      </c>
      <c r="AT21" s="4">
        <v>60000</v>
      </c>
      <c r="AU21" s="4">
        <f>1100000+2310000</f>
        <v>3410000</v>
      </c>
      <c r="AV21" s="4">
        <v>0</v>
      </c>
      <c r="AW21" s="4">
        <f>1740085+1544247</f>
        <v>3284332</v>
      </c>
      <c r="AX21" s="4">
        <f>408658+97422</f>
        <v>506080</v>
      </c>
      <c r="AY21" s="4">
        <f>35210+38753+3047+420000+250750+1000+1000+55500+160600+28050+42740+231000+335500+58000</f>
        <v>1661150</v>
      </c>
      <c r="AZ21" s="4">
        <f t="shared" ref="AZ21" si="28">SUM(BC21:BH21)</f>
        <v>2123275</v>
      </c>
      <c r="BA21" s="4">
        <f t="shared" si="11"/>
        <v>4603117</v>
      </c>
      <c r="BB21" s="4">
        <f t="shared" si="21"/>
        <v>1365769</v>
      </c>
      <c r="BC21" s="4">
        <f>1000000+2000000+1000000-3000000</f>
        <v>1000000</v>
      </c>
      <c r="BD21" s="4">
        <f>471215+897390+132335+132335</f>
        <v>1633275</v>
      </c>
      <c r="BE21" s="4">
        <v>0</v>
      </c>
      <c r="BF21" s="4">
        <f>-510000</f>
        <v>-510000</v>
      </c>
      <c r="BG21" s="4">
        <v>0</v>
      </c>
      <c r="BH21" s="4">
        <v>0</v>
      </c>
      <c r="BI21" s="4">
        <v>0</v>
      </c>
      <c r="BJ21" s="4">
        <v>0</v>
      </c>
      <c r="BK21" s="4">
        <f>94025</f>
        <v>94025</v>
      </c>
      <c r="BL21" s="4">
        <v>0</v>
      </c>
      <c r="BM21" s="4">
        <v>0</v>
      </c>
      <c r="BN21" s="4">
        <f>199995+468000+93480+50000+1790000+193500+462000+315000+637000+234000</f>
        <v>4442975</v>
      </c>
      <c r="BO21" s="4">
        <v>0</v>
      </c>
      <c r="BP21" s="4">
        <v>0</v>
      </c>
      <c r="BQ21" s="4">
        <v>66117</v>
      </c>
      <c r="BR21" s="4">
        <v>0</v>
      </c>
    </row>
    <row r="22" spans="1:70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si="1"/>
        <v>81843053</v>
      </c>
      <c r="I22" s="4">
        <f t="shared" si="12"/>
        <v>8464196</v>
      </c>
      <c r="J22" s="4">
        <f t="shared" si="22"/>
        <v>18003447</v>
      </c>
      <c r="K22" s="4">
        <f t="shared" si="2"/>
        <v>62107249</v>
      </c>
      <c r="L22" s="4">
        <f t="shared" si="3"/>
        <v>58389186</v>
      </c>
      <c r="M22" s="4">
        <f t="shared" si="13"/>
        <v>0</v>
      </c>
      <c r="N22" s="4">
        <f t="shared" si="4"/>
        <v>81843053</v>
      </c>
      <c r="O22" s="4">
        <f t="shared" si="14"/>
        <v>72274870</v>
      </c>
      <c r="P22" s="4">
        <f t="shared" si="5"/>
        <v>5850120</v>
      </c>
      <c r="Q22" s="4">
        <f t="shared" si="6"/>
        <v>-19735804</v>
      </c>
      <c r="R22" s="4">
        <f t="shared" si="7"/>
        <v>28200000</v>
      </c>
      <c r="S22" s="4">
        <f t="shared" si="8"/>
        <v>0</v>
      </c>
      <c r="T22" s="4">
        <f t="shared" si="23"/>
        <v>76773746</v>
      </c>
      <c r="U22" s="4">
        <f t="shared" si="9"/>
        <v>72535865</v>
      </c>
      <c r="V22" s="4">
        <f t="shared" si="16"/>
        <v>4237881</v>
      </c>
      <c r="W22" s="4">
        <f t="shared" si="17"/>
        <v>12411363</v>
      </c>
      <c r="X22" s="4">
        <f t="shared" si="18"/>
        <v>53073746</v>
      </c>
      <c r="Y22" s="4">
        <f t="shared" si="10"/>
        <v>72535865</v>
      </c>
      <c r="Z22" s="4">
        <f t="shared" si="19"/>
        <v>-19462119</v>
      </c>
      <c r="AA22" s="4">
        <v>0</v>
      </c>
      <c r="AB22" s="4">
        <f>53073746</f>
        <v>53073746</v>
      </c>
      <c r="AC22" s="4">
        <f>10000000+2000000+1000000+600000+100000+5000000+5000000</f>
        <v>23700000</v>
      </c>
      <c r="AD22" s="4">
        <v>0</v>
      </c>
      <c r="AE22" s="4">
        <v>0</v>
      </c>
      <c r="AF22" s="4">
        <f>-20000000-6000000-10000000-800000-1000000-200000-1000000+20000000+6000000+10000000+800000+1000000+200000+1000000-100000+100000</f>
        <v>0</v>
      </c>
      <c r="AG22" s="4">
        <v>0</v>
      </c>
      <c r="AH22" s="4">
        <f>1098000+597000+290540+1098000</f>
        <v>3083540</v>
      </c>
      <c r="AI22" s="4">
        <f>1070000+165000+100000</f>
        <v>1335000</v>
      </c>
      <c r="AJ22" s="4">
        <v>0</v>
      </c>
      <c r="AK22" s="4">
        <v>0</v>
      </c>
      <c r="AL22" s="4">
        <f>1100000+1760000+1760000+1650000+3520000+550000</f>
        <v>10340000</v>
      </c>
      <c r="AM22" s="4">
        <f>377130+839050+10515138+467200+3027980+11526890+8088320+5448200+1160400</f>
        <v>41450308</v>
      </c>
      <c r="AN22" s="4">
        <f>100000</f>
        <v>100000</v>
      </c>
      <c r="AO22" s="4">
        <v>5201900</v>
      </c>
      <c r="AP22" s="4">
        <f>669260+15000</f>
        <v>684260</v>
      </c>
      <c r="AQ22" s="4">
        <f>53740+277000</f>
        <v>330740</v>
      </c>
      <c r="AR22" s="4">
        <f>4055000+612000+345000</f>
        <v>5012000</v>
      </c>
      <c r="AS22" s="4">
        <v>0</v>
      </c>
      <c r="AT22" s="4">
        <v>0</v>
      </c>
      <c r="AU22" s="4">
        <v>0</v>
      </c>
      <c r="AV22" s="4">
        <v>0</v>
      </c>
      <c r="AW22" s="4">
        <f>3754020</f>
        <v>3754020</v>
      </c>
      <c r="AX22" s="4">
        <f>408658+97319</f>
        <v>505977</v>
      </c>
      <c r="AY22" s="4">
        <f>35210+110560+60000+250750+160600+99000+22000</f>
        <v>738120</v>
      </c>
      <c r="AZ22" s="4">
        <f t="shared" ref="AZ22:AZ33" si="29">SUM(BC22:BH22)</f>
        <v>13533503</v>
      </c>
      <c r="BA22" s="4">
        <f t="shared" si="11"/>
        <v>9307188</v>
      </c>
      <c r="BB22" s="4">
        <f t="shared" si="21"/>
        <v>5592084</v>
      </c>
      <c r="BC22" s="4">
        <f>3000000+1500000</f>
        <v>4500000</v>
      </c>
      <c r="BD22" s="4">
        <f>792834+87780+1518115+6634774</f>
        <v>9033503</v>
      </c>
      <c r="BE22" s="4">
        <v>0</v>
      </c>
      <c r="BF22" s="4">
        <v>0</v>
      </c>
      <c r="BG22" s="4">
        <v>0</v>
      </c>
      <c r="BH22" s="4">
        <v>0</v>
      </c>
      <c r="BI22" s="4">
        <f>213000+200498+53865+167160</f>
        <v>634523</v>
      </c>
      <c r="BJ22" s="4">
        <v>0</v>
      </c>
      <c r="BK22" s="4">
        <f>95075</f>
        <v>95075</v>
      </c>
      <c r="BL22" s="4">
        <v>0</v>
      </c>
      <c r="BM22" s="4">
        <v>0</v>
      </c>
      <c r="BN22" s="4">
        <f>1590000+294750+345000+66000+216000+442000+701000+2814840+1427000+676000</f>
        <v>8572590</v>
      </c>
      <c r="BO22" s="4">
        <v>0</v>
      </c>
      <c r="BP22" s="4">
        <v>0</v>
      </c>
      <c r="BQ22" s="4">
        <v>5000</v>
      </c>
      <c r="BR22" s="4">
        <v>0</v>
      </c>
    </row>
    <row r="23" spans="1:70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1"/>
        <v>83264731</v>
      </c>
      <c r="I23" s="4">
        <f t="shared" si="12"/>
        <v>24723879</v>
      </c>
      <c r="J23" s="4">
        <f t="shared" si="22"/>
        <v>42727326</v>
      </c>
      <c r="K23" s="4">
        <f t="shared" si="2"/>
        <v>116888610</v>
      </c>
      <c r="L23" s="4">
        <f t="shared" si="3"/>
        <v>114431691</v>
      </c>
      <c r="M23" s="4">
        <f t="shared" si="13"/>
        <v>3719</v>
      </c>
      <c r="N23" s="4">
        <f t="shared" si="4"/>
        <v>83264731</v>
      </c>
      <c r="O23" s="4">
        <f t="shared" si="14"/>
        <v>92066131</v>
      </c>
      <c r="P23" s="4">
        <f t="shared" si="5"/>
        <v>-11254600</v>
      </c>
      <c r="Q23" s="4">
        <f t="shared" si="6"/>
        <v>33623879</v>
      </c>
      <c r="R23" s="4">
        <f t="shared" si="7"/>
        <v>-8900000</v>
      </c>
      <c r="S23" s="4">
        <f t="shared" si="8"/>
        <v>0</v>
      </c>
      <c r="T23" s="4">
        <f t="shared" si="23"/>
        <v>95711016</v>
      </c>
      <c r="U23" s="4">
        <f t="shared" si="9"/>
        <v>72045005</v>
      </c>
      <c r="V23" s="4">
        <f t="shared" si="16"/>
        <v>23666011</v>
      </c>
      <c r="W23" s="4">
        <f t="shared" si="17"/>
        <v>36077374</v>
      </c>
      <c r="X23" s="4">
        <f t="shared" si="18"/>
        <v>95711016</v>
      </c>
      <c r="Y23" s="4">
        <f t="shared" si="10"/>
        <v>72045005</v>
      </c>
      <c r="Z23" s="4">
        <f t="shared" si="19"/>
        <v>23666011</v>
      </c>
      <c r="AA23" s="4">
        <v>0</v>
      </c>
      <c r="AB23" s="4">
        <f>23231772+40671780+31807464</f>
        <v>95711016</v>
      </c>
      <c r="AC23" s="4">
        <v>0</v>
      </c>
      <c r="AD23" s="4">
        <v>0</v>
      </c>
      <c r="AE23" s="4">
        <v>0</v>
      </c>
      <c r="AF23" s="4">
        <f>-12000000-40000000-20000000-20000000+12000000+40000000+20000000+20000000-100000+100000</f>
        <v>0</v>
      </c>
      <c r="AG23" s="4">
        <v>0</v>
      </c>
      <c r="AH23" s="4">
        <f>300000+40000+147000+168000+147000</f>
        <v>802000</v>
      </c>
      <c r="AI23" s="4">
        <f>165000+1600000</f>
        <v>1765000</v>
      </c>
      <c r="AJ23" s="4">
        <v>0</v>
      </c>
      <c r="AK23" s="4">
        <f>-5000000-10000000</f>
        <v>-15000000</v>
      </c>
      <c r="AL23" s="4">
        <f>550000+600000+550000+1760000+1760000+5610000+330000+1650000+3520000+550000+600000+550000+550000</f>
        <v>18580000</v>
      </c>
      <c r="AM23" s="4">
        <f>480000+600000+5695280+15463850+290100+320110+261100+692530+21240+338450+11328860+13059160</f>
        <v>48550680</v>
      </c>
      <c r="AN23" s="4">
        <v>2721400</v>
      </c>
      <c r="AO23" s="4">
        <v>4514400</v>
      </c>
      <c r="AP23" s="4">
        <v>0</v>
      </c>
      <c r="AQ23" s="4">
        <f>-266760+2037000+1903000</f>
        <v>3673240</v>
      </c>
      <c r="AR23" s="4">
        <f>116000+41000</f>
        <v>157000</v>
      </c>
      <c r="AS23" s="4">
        <v>0</v>
      </c>
      <c r="AT23" s="4">
        <v>0</v>
      </c>
      <c r="AU23" s="4">
        <f>907500</f>
        <v>907500</v>
      </c>
      <c r="AV23" s="4">
        <f>111100</f>
        <v>111100</v>
      </c>
      <c r="AW23" s="4">
        <f>3899552</f>
        <v>3899552</v>
      </c>
      <c r="AX23" s="4">
        <f>408658+87475</f>
        <v>496133</v>
      </c>
      <c r="AY23" s="4">
        <f>35210+22000+41800+22000+250750+110000+121000+160600+81640+22000</f>
        <v>867000</v>
      </c>
      <c r="AZ23" s="4">
        <f>SUM(BC23:BH23)</f>
        <v>12277594</v>
      </c>
      <c r="BA23" s="4">
        <f t="shared" si="11"/>
        <v>11219726</v>
      </c>
      <c r="BB23" s="4">
        <f t="shared" si="21"/>
        <v>6649952</v>
      </c>
      <c r="BC23" s="4">
        <f>-5000000-3900000</f>
        <v>-8900000</v>
      </c>
      <c r="BD23" s="4">
        <f>17764126+3409749</f>
        <v>21173875</v>
      </c>
      <c r="BE23" s="4">
        <v>0</v>
      </c>
      <c r="BF23" s="4">
        <v>0</v>
      </c>
      <c r="BG23" s="4">
        <v>0</v>
      </c>
      <c r="BH23" s="4">
        <f>468+3251</f>
        <v>3719</v>
      </c>
      <c r="BI23" s="4">
        <f>1340000+292000+19200</f>
        <v>1651200</v>
      </c>
      <c r="BJ23" s="4">
        <v>0</v>
      </c>
      <c r="BK23" s="4">
        <f>88941</f>
        <v>88941</v>
      </c>
      <c r="BL23" s="4">
        <v>0</v>
      </c>
      <c r="BM23" s="4">
        <v>0</v>
      </c>
      <c r="BN23" s="4">
        <f>130000+2020000+460560+120000+30000+3039025+106000+234000+1093000+225000+2022000</f>
        <v>9479585</v>
      </c>
      <c r="BO23" s="4">
        <v>0</v>
      </c>
      <c r="BP23" s="4">
        <v>0</v>
      </c>
      <c r="BQ23" s="4">
        <v>0</v>
      </c>
      <c r="BR23" s="4">
        <v>0</v>
      </c>
    </row>
    <row r="24" spans="1:70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1"/>
        <v>94646934</v>
      </c>
      <c r="I24" s="4">
        <f t="shared" si="12"/>
        <v>48484079</v>
      </c>
      <c r="J24" s="4">
        <f t="shared" si="22"/>
        <v>91211405</v>
      </c>
      <c r="K24" s="4">
        <f t="shared" si="2"/>
        <v>91627228</v>
      </c>
      <c r="L24" s="4">
        <f t="shared" si="3"/>
        <v>89611508</v>
      </c>
      <c r="M24" s="4">
        <f t="shared" si="13"/>
        <v>846020</v>
      </c>
      <c r="N24" s="4">
        <f t="shared" si="4"/>
        <v>94646934</v>
      </c>
      <c r="O24" s="4">
        <f t="shared" si="14"/>
        <v>84467764</v>
      </c>
      <c r="P24" s="4">
        <f t="shared" si="5"/>
        <v>9008970</v>
      </c>
      <c r="Q24" s="4">
        <f t="shared" si="6"/>
        <v>-3019706</v>
      </c>
      <c r="R24" s="4">
        <f t="shared" si="7"/>
        <v>-23496215</v>
      </c>
      <c r="S24" s="4">
        <f t="shared" si="8"/>
        <v>75000000</v>
      </c>
      <c r="T24" s="4">
        <f t="shared" si="23"/>
        <v>136757115</v>
      </c>
      <c r="U24" s="4">
        <f t="shared" si="9"/>
        <v>85997464</v>
      </c>
      <c r="V24" s="4">
        <f t="shared" si="16"/>
        <v>50759651</v>
      </c>
      <c r="W24" s="4">
        <f t="shared" si="17"/>
        <v>86837025</v>
      </c>
      <c r="X24" s="4">
        <f t="shared" si="18"/>
        <v>84457115</v>
      </c>
      <c r="Y24" s="4">
        <f t="shared" si="10"/>
        <v>85997464</v>
      </c>
      <c r="Z24" s="4">
        <f t="shared" si="19"/>
        <v>-1540349</v>
      </c>
      <c r="AA24" s="4">
        <v>0</v>
      </c>
      <c r="AB24" s="4">
        <f>71833732+12611833</f>
        <v>84445565</v>
      </c>
      <c r="AC24" s="4">
        <f>-47700000</f>
        <v>-47700000</v>
      </c>
      <c r="AD24" s="4">
        <v>0</v>
      </c>
      <c r="AE24" s="4">
        <v>100000000</v>
      </c>
      <c r="AF24" s="4">
        <f>-50000000-10000000-20000000+50000000+10000000+47700000+20000000-100000+100000-47700500</f>
        <v>-500</v>
      </c>
      <c r="AG24" s="4">
        <v>12050</v>
      </c>
      <c r="AH24" s="4">
        <f>440000+112000+168000</f>
        <v>720000</v>
      </c>
      <c r="AI24" s="4">
        <f>165000+100000+233200</f>
        <v>498200</v>
      </c>
      <c r="AJ24" s="4">
        <v>0</v>
      </c>
      <c r="AK24" s="4">
        <f>300000+2700000</f>
        <v>3000000</v>
      </c>
      <c r="AL24" s="4">
        <f>1760000*2+1650000+3520000+1100000+550000+600000+550000</f>
        <v>11490000</v>
      </c>
      <c r="AM24" s="4">
        <f>-338450+700000+640000+200000+386800+37691450+6448820+5159840+58020+200000</f>
        <v>51146480</v>
      </c>
      <c r="AN24" s="4">
        <v>0</v>
      </c>
      <c r="AO24" s="4">
        <v>6594500</v>
      </c>
      <c r="AP24" s="4">
        <f>509450</f>
        <v>509450</v>
      </c>
      <c r="AQ24" s="4">
        <f>123490-138230+1861230</f>
        <v>1846490</v>
      </c>
      <c r="AR24" s="4">
        <f>3245000+115000</f>
        <v>3360000</v>
      </c>
      <c r="AS24" s="4">
        <v>0</v>
      </c>
      <c r="AT24" s="4">
        <v>0</v>
      </c>
      <c r="AU24" s="4">
        <v>1100000</v>
      </c>
      <c r="AV24" s="4">
        <f>242100+14591</f>
        <v>256691</v>
      </c>
      <c r="AW24" s="4">
        <f>2394427</f>
        <v>2394427</v>
      </c>
      <c r="AX24" s="4">
        <f>408658+93508</f>
        <v>502166</v>
      </c>
      <c r="AY24" s="4">
        <f>35210+85800+347500+250750+1099530+353170+100+22000+385000</f>
        <v>2579060</v>
      </c>
      <c r="AZ24" s="4">
        <f t="shared" si="29"/>
        <v>6373898</v>
      </c>
      <c r="BA24" s="4">
        <f t="shared" si="11"/>
        <v>8649470</v>
      </c>
      <c r="BB24" s="4">
        <f t="shared" si="21"/>
        <v>4374380</v>
      </c>
      <c r="BC24" s="4">
        <f>24003785+200000</f>
        <v>24203785</v>
      </c>
      <c r="BD24" s="4">
        <f>525859+425005+4271935+1113344</f>
        <v>6336143</v>
      </c>
      <c r="BE24" s="4">
        <f>-25000000</f>
        <v>-25000000</v>
      </c>
      <c r="BF24" s="4">
        <v>0</v>
      </c>
      <c r="BG24" s="4">
        <v>0</v>
      </c>
      <c r="BH24" s="4">
        <f>60000+773970</f>
        <v>833970</v>
      </c>
      <c r="BI24" s="4">
        <f>57200+393000</f>
        <v>450200</v>
      </c>
      <c r="BJ24" s="4">
        <v>0</v>
      </c>
      <c r="BK24" s="4">
        <v>0</v>
      </c>
      <c r="BL24" s="6">
        <v>0</v>
      </c>
      <c r="BM24" s="4">
        <v>0</v>
      </c>
      <c r="BN24" s="4">
        <f>468000+196880+999000+78000+477000+732000+264600+550000+288000+126000+1693250+150000+1822000-240000+285300</f>
        <v>7890030</v>
      </c>
      <c r="BO24" s="4">
        <v>0</v>
      </c>
      <c r="BP24" s="4">
        <v>0</v>
      </c>
      <c r="BQ24" s="4">
        <f>239330</f>
        <v>239330</v>
      </c>
      <c r="BR24" s="4">
        <v>69910</v>
      </c>
    </row>
    <row r="25" spans="1:70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1"/>
        <v>86651703</v>
      </c>
      <c r="I25" s="4">
        <f t="shared" si="12"/>
        <v>-1470489</v>
      </c>
      <c r="J25" s="4">
        <f t="shared" si="22"/>
        <v>89740916</v>
      </c>
      <c r="K25" s="4">
        <f t="shared" si="2"/>
        <v>97182008</v>
      </c>
      <c r="L25" s="4">
        <f t="shared" si="3"/>
        <v>93236813</v>
      </c>
      <c r="M25" s="4">
        <f t="shared" si="13"/>
        <v>3600000</v>
      </c>
      <c r="N25" s="4">
        <f t="shared" si="4"/>
        <v>86651703</v>
      </c>
      <c r="O25" s="4">
        <f t="shared" si="14"/>
        <v>85763408</v>
      </c>
      <c r="P25" s="4">
        <f t="shared" si="5"/>
        <v>541600</v>
      </c>
      <c r="Q25" s="4">
        <f t="shared" si="6"/>
        <v>10530305</v>
      </c>
      <c r="R25" s="4">
        <f t="shared" si="7"/>
        <v>3000000</v>
      </c>
      <c r="S25" s="4">
        <f t="shared" si="8"/>
        <v>-15000794</v>
      </c>
      <c r="T25" s="4">
        <f t="shared" si="23"/>
        <v>77498225</v>
      </c>
      <c r="U25" s="4">
        <f t="shared" si="9"/>
        <v>83931448</v>
      </c>
      <c r="V25" s="4">
        <f t="shared" si="16"/>
        <v>-6433223</v>
      </c>
      <c r="W25" s="4">
        <f t="shared" si="17"/>
        <v>80403802</v>
      </c>
      <c r="X25" s="4">
        <f t="shared" si="18"/>
        <v>88399019</v>
      </c>
      <c r="Y25" s="4">
        <f t="shared" si="10"/>
        <v>83931448</v>
      </c>
      <c r="Z25" s="4">
        <f t="shared" si="19"/>
        <v>4467571</v>
      </c>
      <c r="AA25" s="4">
        <v>0</v>
      </c>
      <c r="AB25" s="4">
        <f>84800519</f>
        <v>84800519</v>
      </c>
      <c r="AC25" s="4">
        <f>4100000</f>
        <v>4100000</v>
      </c>
      <c r="AD25" s="4">
        <v>0</v>
      </c>
      <c r="AE25" s="4">
        <f>-15000794</f>
        <v>-15000794</v>
      </c>
      <c r="AF25" s="4">
        <f>-30000000-18000000-300000-1900000-50000000+30000000+18000000+5000000+6000000+300000+1900000-50000+15000000+50000000+50000+2000000-5000500-6000500-15000500-2000000</f>
        <v>-1500</v>
      </c>
      <c r="AG25" s="4">
        <v>3600000</v>
      </c>
      <c r="AH25" s="4">
        <v>0</v>
      </c>
      <c r="AI25" s="4">
        <f>165000+100000</f>
        <v>265000</v>
      </c>
      <c r="AJ25" s="4">
        <v>0</v>
      </c>
      <c r="AK25" s="4">
        <v>0</v>
      </c>
      <c r="AL25" s="4">
        <f>550000+550000+1760000+1760000+6199690+1705000+1705000+1100000+1650000+3520000+550000+550000+550000+550000+600000</f>
        <v>23299690</v>
      </c>
      <c r="AM25" s="4">
        <f>700000+640000+483500+3031180+46441270+180000+240000+2417500-530000+250000+700000+640000+386800</f>
        <v>55580250</v>
      </c>
      <c r="AN25" s="4">
        <v>7502730</v>
      </c>
      <c r="AO25" s="4">
        <v>0</v>
      </c>
      <c r="AP25" s="4">
        <f>1308540</f>
        <v>1308540</v>
      </c>
      <c r="AQ25" s="4">
        <v>0</v>
      </c>
      <c r="AR25" s="4">
        <f>180000</f>
        <v>180000</v>
      </c>
      <c r="AS25" s="4">
        <v>0</v>
      </c>
      <c r="AT25" s="4">
        <f>-1000000-2000000-2000000+19300-2000000-800000</f>
        <v>-7780700</v>
      </c>
      <c r="AU25" s="4">
        <v>0</v>
      </c>
      <c r="AV25" s="4">
        <v>0</v>
      </c>
      <c r="AW25" s="4">
        <f>2153674</f>
        <v>2153674</v>
      </c>
      <c r="AX25" s="4">
        <f>408658+90491+283545</f>
        <v>782694</v>
      </c>
      <c r="AY25" s="4">
        <f>35210+85800+250750+160600+16450+61660+22000+3100+4000</f>
        <v>639570</v>
      </c>
      <c r="AZ25" s="4">
        <f t="shared" si="29"/>
        <v>7682989</v>
      </c>
      <c r="BA25" s="4">
        <f t="shared" si="11"/>
        <v>2720255</v>
      </c>
      <c r="BB25" s="4">
        <f t="shared" si="21"/>
        <v>9337114</v>
      </c>
      <c r="BC25" s="4">
        <f>-1100000</f>
        <v>-1100000</v>
      </c>
      <c r="BD25" s="4">
        <f>7973052+809937</f>
        <v>8782989</v>
      </c>
      <c r="BE25" s="4">
        <v>0</v>
      </c>
      <c r="BF25" s="4">
        <v>0</v>
      </c>
      <c r="BG25" s="4">
        <v>0</v>
      </c>
      <c r="BH25" s="4">
        <v>0</v>
      </c>
      <c r="BI25" s="4">
        <f>173130+173565</f>
        <v>346695</v>
      </c>
      <c r="BJ25" s="4">
        <v>0</v>
      </c>
      <c r="BK25" s="4">
        <v>0</v>
      </c>
      <c r="BL25" s="4">
        <v>0</v>
      </c>
      <c r="BM25" s="4">
        <v>0</v>
      </c>
      <c r="BN25" s="4">
        <f>136550+35000+536000+520000+345800+185250+400000+164960</f>
        <v>2323560</v>
      </c>
      <c r="BO25" s="4">
        <v>0</v>
      </c>
      <c r="BP25" s="4">
        <v>0</v>
      </c>
      <c r="BQ25" s="4">
        <f>50000</f>
        <v>50000</v>
      </c>
      <c r="BR25" s="4">
        <v>0</v>
      </c>
    </row>
    <row r="26" spans="1:70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1"/>
        <v>108786857</v>
      </c>
      <c r="I26" s="4">
        <f t="shared" si="12"/>
        <v>-33218741</v>
      </c>
      <c r="J26" s="4">
        <f t="shared" si="22"/>
        <v>56522175</v>
      </c>
      <c r="K26" s="4">
        <f t="shared" si="2"/>
        <v>75568116</v>
      </c>
      <c r="L26" s="4">
        <f t="shared" si="3"/>
        <v>75482955</v>
      </c>
      <c r="M26" s="4">
        <f t="shared" si="13"/>
        <v>17961</v>
      </c>
      <c r="N26" s="4">
        <f t="shared" si="4"/>
        <v>108786857</v>
      </c>
      <c r="O26" s="4">
        <f t="shared" si="14"/>
        <v>95999217</v>
      </c>
      <c r="P26" s="4">
        <f t="shared" si="5"/>
        <v>12720440</v>
      </c>
      <c r="Q26" s="4">
        <f t="shared" si="6"/>
        <v>-33218741</v>
      </c>
      <c r="R26" s="4">
        <f t="shared" si="7"/>
        <v>0</v>
      </c>
      <c r="S26" s="4">
        <f t="shared" si="8"/>
        <v>0</v>
      </c>
      <c r="T26" s="4">
        <f t="shared" si="23"/>
        <v>69179924</v>
      </c>
      <c r="U26" s="4">
        <f t="shared" si="9"/>
        <v>101448671</v>
      </c>
      <c r="V26" s="4">
        <f t="shared" si="16"/>
        <v>-32268747</v>
      </c>
      <c r="W26" s="4">
        <f t="shared" si="17"/>
        <v>48135055</v>
      </c>
      <c r="X26" s="4">
        <f t="shared" si="18"/>
        <v>69179924</v>
      </c>
      <c r="Y26" s="4">
        <f t="shared" si="10"/>
        <v>101448671</v>
      </c>
      <c r="Z26" s="4">
        <f t="shared" si="19"/>
        <v>-32268747</v>
      </c>
      <c r="AA26" s="4">
        <v>0</v>
      </c>
      <c r="AB26" s="4">
        <f>35545641+33616536</f>
        <v>69162177</v>
      </c>
      <c r="AC26" s="4">
        <v>0</v>
      </c>
      <c r="AD26" s="4">
        <v>0</v>
      </c>
      <c r="AE26" s="4">
        <v>0</v>
      </c>
      <c r="AF26" s="4">
        <f>-30000000-20000000-20000000+30000000+20000000+20000000-200000+200000</f>
        <v>0</v>
      </c>
      <c r="AG26" s="4">
        <f>6313+5014+27+2+84+6307</f>
        <v>17747</v>
      </c>
      <c r="AH26" s="4">
        <v>0</v>
      </c>
      <c r="AI26" s="4">
        <f>165000</f>
        <v>165000</v>
      </c>
      <c r="AJ26" s="4">
        <v>10500000</v>
      </c>
      <c r="AK26" s="4">
        <v>0</v>
      </c>
      <c r="AL26" s="4">
        <f>1705000+1760000*2+1650000+3520000+1100000+550000*4+600000</f>
        <v>14295000</v>
      </c>
      <c r="AM26" s="4">
        <f>180000+32044080+16505670+6006860+1861990+200000+700000+640000</f>
        <v>58138600</v>
      </c>
      <c r="AN26" s="4">
        <v>0</v>
      </c>
      <c r="AO26" s="4">
        <f>2862200+6545000</f>
        <v>9407200</v>
      </c>
      <c r="AP26" s="4">
        <f>81520</f>
        <v>81520</v>
      </c>
      <c r="AQ26" s="4">
        <f>1606380+1722550+55200</f>
        <v>3384130</v>
      </c>
      <c r="AR26" s="4">
        <f>-33000+37000+90000+90000+37000</f>
        <v>221000</v>
      </c>
      <c r="AS26" s="4">
        <f>600000</f>
        <v>600000</v>
      </c>
      <c r="AT26" s="4">
        <v>0</v>
      </c>
      <c r="AU26" s="4">
        <v>1100000</v>
      </c>
      <c r="AV26" s="4">
        <v>0</v>
      </c>
      <c r="AW26" s="4">
        <f>1772670</f>
        <v>1772670</v>
      </c>
      <c r="AX26" s="4">
        <f>29508+61967+292636</f>
        <v>384111</v>
      </c>
      <c r="AY26" s="4">
        <f>4400+35210+22000+41800+22000+770000+4400+250750+5000+160600+14000+47280+22000</f>
        <v>1399440</v>
      </c>
      <c r="AZ26" s="4">
        <f t="shared" si="29"/>
        <v>6388192</v>
      </c>
      <c r="BA26" s="4">
        <f t="shared" si="11"/>
        <v>7338186</v>
      </c>
      <c r="BB26" s="4">
        <f t="shared" si="21"/>
        <v>8387120</v>
      </c>
      <c r="BC26" s="4">
        <v>0</v>
      </c>
      <c r="BD26" s="4">
        <f>5912705+254979+220294</f>
        <v>6387978</v>
      </c>
      <c r="BE26" s="4">
        <v>0</v>
      </c>
      <c r="BF26" s="4">
        <v>0</v>
      </c>
      <c r="BG26" s="4">
        <v>0</v>
      </c>
      <c r="BH26" s="4">
        <v>214</v>
      </c>
      <c r="BI26" s="4">
        <f>67200</f>
        <v>67200</v>
      </c>
      <c r="BJ26" s="4">
        <v>0</v>
      </c>
      <c r="BK26" s="4">
        <v>0</v>
      </c>
      <c r="BL26" s="4">
        <v>0</v>
      </c>
      <c r="BM26" s="4">
        <v>0</v>
      </c>
      <c r="BN26" s="4">
        <f>985500+614000+35000+1753000+1885000+770000+173600+160500+78000+90000+78000+117040+494000</f>
        <v>7233640</v>
      </c>
      <c r="BO26" s="4">
        <v>0</v>
      </c>
      <c r="BP26" s="4">
        <v>0</v>
      </c>
      <c r="BQ26" s="4">
        <f>37346</f>
        <v>37346</v>
      </c>
      <c r="BR26" s="4">
        <v>0</v>
      </c>
    </row>
    <row r="27" spans="1:70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1"/>
        <v>102567167</v>
      </c>
      <c r="I27" s="4">
        <f t="shared" si="12"/>
        <v>-36755779</v>
      </c>
      <c r="J27" s="4">
        <f t="shared" si="22"/>
        <v>19766396</v>
      </c>
      <c r="K27" s="4">
        <f t="shared" si="2"/>
        <v>65811388</v>
      </c>
      <c r="L27" s="4">
        <f t="shared" si="3"/>
        <v>65523162</v>
      </c>
      <c r="M27" s="4">
        <f t="shared" si="13"/>
        <v>80151</v>
      </c>
      <c r="N27" s="4">
        <f t="shared" si="4"/>
        <v>102567167</v>
      </c>
      <c r="O27" s="4">
        <f t="shared" si="14"/>
        <v>96013490</v>
      </c>
      <c r="P27" s="4">
        <f t="shared" si="5"/>
        <v>6344602</v>
      </c>
      <c r="Q27" s="4">
        <f t="shared" si="6"/>
        <v>-36755779</v>
      </c>
      <c r="R27" s="4">
        <f t="shared" si="7"/>
        <v>0</v>
      </c>
      <c r="S27" s="4">
        <f t="shared" si="8"/>
        <v>0</v>
      </c>
      <c r="T27" s="4">
        <f t="shared" si="23"/>
        <v>61433824</v>
      </c>
      <c r="U27" s="4">
        <f t="shared" si="9"/>
        <v>92303875</v>
      </c>
      <c r="V27" s="4">
        <f t="shared" si="16"/>
        <v>-30870051</v>
      </c>
      <c r="W27" s="4">
        <f t="shared" si="17"/>
        <v>17265004</v>
      </c>
      <c r="X27" s="4">
        <f t="shared" si="18"/>
        <v>61433824</v>
      </c>
      <c r="Y27" s="4">
        <f t="shared" si="10"/>
        <v>92303875</v>
      </c>
      <c r="Z27" s="4">
        <f t="shared" si="19"/>
        <v>-30870051</v>
      </c>
      <c r="AA27" s="4">
        <v>0</v>
      </c>
      <c r="AB27" s="4">
        <f>61434824</f>
        <v>61434824</v>
      </c>
      <c r="AC27" s="4">
        <v>0</v>
      </c>
      <c r="AD27" s="4">
        <v>0</v>
      </c>
      <c r="AE27" s="4">
        <v>0</v>
      </c>
      <c r="AF27" s="4">
        <f>-30000000-8000000-4000000-20000000+30000000+8000000+10000000+6000000+4000000+20000000-10000500-6000500</f>
        <v>-1000</v>
      </c>
      <c r="AG27" s="4">
        <v>0</v>
      </c>
      <c r="AH27" s="4">
        <v>0</v>
      </c>
      <c r="AI27" s="4">
        <f>165000</f>
        <v>165000</v>
      </c>
      <c r="AJ27" s="4">
        <v>0</v>
      </c>
      <c r="AK27" s="4">
        <v>0</v>
      </c>
      <c r="AL27" s="4">
        <f>1760000*2+1705000*2+550000*4+600000</f>
        <v>9730000</v>
      </c>
      <c r="AM27" s="4">
        <f>400000+240000+52001070+3787600+773600+2417500+240000+700000+400000+200000</f>
        <v>61159770</v>
      </c>
      <c r="AN27" s="4">
        <f>100000+3155075</f>
        <v>3255075</v>
      </c>
      <c r="AO27" s="4">
        <f>6606600+6333800</f>
        <v>12940400</v>
      </c>
      <c r="AP27" s="4">
        <f>768710+25040</f>
        <v>793750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f>1346750</f>
        <v>1346750</v>
      </c>
      <c r="AX27" s="4">
        <f>88524+283196</f>
        <v>371720</v>
      </c>
      <c r="AY27" s="4">
        <f>35210+22000+41800+22000+250750+160600+15120+46930+22000+1925000</f>
        <v>2541410</v>
      </c>
      <c r="AZ27" s="4">
        <f t="shared" si="29"/>
        <v>4377564</v>
      </c>
      <c r="BA27" s="4">
        <f t="shared" si="11"/>
        <v>10263292</v>
      </c>
      <c r="BB27" s="4">
        <f t="shared" si="21"/>
        <v>2501392</v>
      </c>
      <c r="BC27" s="4">
        <v>0</v>
      </c>
      <c r="BD27" s="4">
        <f>228174+194185+3875054</f>
        <v>4297413</v>
      </c>
      <c r="BE27" s="4">
        <v>0</v>
      </c>
      <c r="BF27" s="4">
        <v>0</v>
      </c>
      <c r="BG27" s="4">
        <v>0</v>
      </c>
      <c r="BH27" s="4">
        <f>32751+19900+27500</f>
        <v>80151</v>
      </c>
      <c r="BI27" s="4">
        <f>-50000+149625+109450</f>
        <v>209075</v>
      </c>
      <c r="BJ27" s="4">
        <v>0</v>
      </c>
      <c r="BK27" s="4">
        <v>0</v>
      </c>
      <c r="BL27" s="4">
        <v>0</v>
      </c>
      <c r="BM27" s="4">
        <v>0</v>
      </c>
      <c r="BN27" s="4">
        <f>120000+1763000+150000+537600+481000+24000+1159000+35000+1726000+102000+1726000+1013500+15000+35000+619000</f>
        <v>9506100</v>
      </c>
      <c r="BO27" s="4">
        <v>0</v>
      </c>
      <c r="BP27" s="4">
        <v>0</v>
      </c>
      <c r="BQ27" s="4">
        <v>0</v>
      </c>
      <c r="BR27" s="4">
        <f>178217+77100+283000+9800</f>
        <v>548117</v>
      </c>
    </row>
    <row r="28" spans="1:70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1"/>
        <v>86456767</v>
      </c>
      <c r="I28" s="4">
        <f t="shared" si="12"/>
        <v>11737098</v>
      </c>
      <c r="J28" s="4">
        <f t="shared" si="22"/>
        <v>31503494</v>
      </c>
      <c r="K28" s="4">
        <f t="shared" si="2"/>
        <v>88193865</v>
      </c>
      <c r="L28" s="4">
        <f t="shared" si="3"/>
        <v>83323715</v>
      </c>
      <c r="M28" s="4">
        <f t="shared" si="13"/>
        <v>3600035</v>
      </c>
      <c r="N28" s="4">
        <f t="shared" si="4"/>
        <v>86456767</v>
      </c>
      <c r="O28" s="4">
        <f t="shared" si="14"/>
        <v>79455322</v>
      </c>
      <c r="P28" s="4">
        <f t="shared" si="5"/>
        <v>5730830</v>
      </c>
      <c r="Q28" s="4">
        <f t="shared" si="6"/>
        <v>1737098</v>
      </c>
      <c r="R28" s="4">
        <f t="shared" si="7"/>
        <v>10000000</v>
      </c>
      <c r="S28" s="4">
        <f t="shared" si="8"/>
        <v>0</v>
      </c>
      <c r="T28" s="4">
        <f t="shared" si="23"/>
        <v>89778394</v>
      </c>
      <c r="U28" s="4">
        <f t="shared" si="9"/>
        <v>85181327</v>
      </c>
      <c r="V28" s="4">
        <f t="shared" si="16"/>
        <v>4597067</v>
      </c>
      <c r="W28" s="4">
        <f t="shared" si="17"/>
        <v>21862071</v>
      </c>
      <c r="X28" s="4">
        <f t="shared" si="18"/>
        <v>79778394</v>
      </c>
      <c r="Y28" s="4">
        <f t="shared" si="10"/>
        <v>85181327</v>
      </c>
      <c r="Z28" s="4">
        <f t="shared" si="19"/>
        <v>-5402933</v>
      </c>
      <c r="AA28" s="4">
        <v>0</v>
      </c>
      <c r="AB28" s="4">
        <f>48102613+28076281</f>
        <v>76178894</v>
      </c>
      <c r="AC28" s="4">
        <f>9000000+1000000</f>
        <v>10000000</v>
      </c>
      <c r="AD28" s="4">
        <v>0</v>
      </c>
      <c r="AE28" s="4">
        <v>0</v>
      </c>
      <c r="AF28" s="4">
        <f>2000000-7700000-26000000-3000000-5000000-7000000-29000000+7700000+26000000+8000000+3000000+5000000+7000000+29000000-200000-2000000+200000-8000500</f>
        <v>-500</v>
      </c>
      <c r="AG28" s="4">
        <v>3600000</v>
      </c>
      <c r="AH28" s="4">
        <f>1270615</f>
        <v>1270615</v>
      </c>
      <c r="AI28" s="4">
        <f>165000</f>
        <v>165000</v>
      </c>
      <c r="AJ28" s="4">
        <v>0</v>
      </c>
      <c r="AK28" s="4">
        <v>5000000</v>
      </c>
      <c r="AL28" s="4">
        <f>550000+1650000+3520000+1100000+1320000*2+1705000+1650000+3520000+1100000+550000+600000+550000*2</f>
        <v>19685000</v>
      </c>
      <c r="AM28" s="4">
        <f>522540+266960+48914742+514708+66750</f>
        <v>50285700</v>
      </c>
      <c r="AN28" s="4">
        <v>0</v>
      </c>
      <c r="AO28" s="4">
        <v>0</v>
      </c>
      <c r="AP28" s="4">
        <f>1007610+282250+134990</f>
        <v>1424850</v>
      </c>
      <c r="AQ28" s="4">
        <f>84460+2234620+2110660+79440</f>
        <v>4509180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f>1219160+509422</f>
        <v>1728582</v>
      </c>
      <c r="AX28" s="4">
        <f>91475+290095</f>
        <v>381570</v>
      </c>
      <c r="AY28" s="4">
        <f>35210+85800+250750+160600+102070+14300+60100+22000</f>
        <v>730830</v>
      </c>
      <c r="AZ28" s="4">
        <f t="shared" si="29"/>
        <v>8415471</v>
      </c>
      <c r="BA28" s="4">
        <f t="shared" si="11"/>
        <v>1275440</v>
      </c>
      <c r="BB28" s="4">
        <f t="shared" si="21"/>
        <v>9641423</v>
      </c>
      <c r="BC28" s="4">
        <v>0</v>
      </c>
      <c r="BD28" s="4">
        <f>2938257+5025477+227816+223886</f>
        <v>8415436</v>
      </c>
      <c r="BE28" s="4">
        <v>0</v>
      </c>
      <c r="BF28" s="4">
        <v>0</v>
      </c>
      <c r="BG28" s="4">
        <v>0</v>
      </c>
      <c r="BH28" s="4">
        <v>35</v>
      </c>
      <c r="BI28" s="4">
        <v>0</v>
      </c>
      <c r="BJ28" s="4">
        <v>0</v>
      </c>
      <c r="BK28" s="4">
        <v>0</v>
      </c>
      <c r="BL28" s="4">
        <v>0</v>
      </c>
      <c r="BM28" s="4">
        <f>55000</f>
        <v>55000</v>
      </c>
      <c r="BN28" s="4">
        <f>-1726000+972000+203400+89000+364000+992840+91200+78000+149300</f>
        <v>1213740</v>
      </c>
      <c r="BO28" s="4">
        <v>0</v>
      </c>
      <c r="BP28" s="4">
        <v>0</v>
      </c>
      <c r="BQ28" s="4">
        <f>6700</f>
        <v>6700</v>
      </c>
      <c r="BR28" s="4">
        <v>0</v>
      </c>
    </row>
    <row r="29" spans="1:70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1"/>
        <v>99474595</v>
      </c>
      <c r="I29" s="4">
        <f t="shared" si="12"/>
        <v>-15972405</v>
      </c>
      <c r="J29" s="4">
        <f t="shared" si="22"/>
        <v>15531089</v>
      </c>
      <c r="K29" s="4">
        <f t="shared" si="2"/>
        <v>85002190</v>
      </c>
      <c r="L29" s="4">
        <f t="shared" si="3"/>
        <v>83696376</v>
      </c>
      <c r="M29" s="4">
        <f t="shared" si="13"/>
        <v>1200344</v>
      </c>
      <c r="N29" s="4">
        <f t="shared" si="4"/>
        <v>99474595</v>
      </c>
      <c r="O29" s="4">
        <f t="shared" si="14"/>
        <v>95337409</v>
      </c>
      <c r="P29" s="4">
        <f t="shared" si="5"/>
        <v>4031716</v>
      </c>
      <c r="Q29" s="4">
        <f t="shared" si="6"/>
        <v>-14472405</v>
      </c>
      <c r="R29" s="4">
        <f t="shared" si="7"/>
        <v>-1500000</v>
      </c>
      <c r="S29" s="4">
        <f t="shared" si="8"/>
        <v>0</v>
      </c>
      <c r="T29" s="4">
        <f t="shared" si="23"/>
        <v>84433284</v>
      </c>
      <c r="U29" s="4">
        <f t="shared" si="9"/>
        <v>92353150</v>
      </c>
      <c r="V29" s="4">
        <f t="shared" si="16"/>
        <v>-7919866</v>
      </c>
      <c r="W29" s="4">
        <f t="shared" si="17"/>
        <v>13942205</v>
      </c>
      <c r="X29" s="4">
        <f t="shared" si="18"/>
        <v>78433284</v>
      </c>
      <c r="Y29" s="4">
        <f t="shared" si="10"/>
        <v>92353150</v>
      </c>
      <c r="Z29" s="4">
        <f t="shared" si="19"/>
        <v>-13919866</v>
      </c>
      <c r="AA29" s="4">
        <v>0</v>
      </c>
      <c r="AB29" s="4">
        <f>11821338+46516676+18895270</f>
        <v>77233284</v>
      </c>
      <c r="AC29" s="4">
        <f>150000-150000+6000000</f>
        <v>6000000</v>
      </c>
      <c r="AD29" s="4">
        <v>0</v>
      </c>
      <c r="AE29" s="4">
        <v>0</v>
      </c>
      <c r="AF29" s="4">
        <f>-50000000-11000000-1200000-8000000+50000000+11000000+1200000+8000000</f>
        <v>0</v>
      </c>
      <c r="AG29" s="4">
        <v>1200000</v>
      </c>
      <c r="AH29" s="4">
        <v>0</v>
      </c>
      <c r="AI29" s="4">
        <f>264000+140000+165000</f>
        <v>569000</v>
      </c>
      <c r="AJ29" s="4">
        <v>0</v>
      </c>
      <c r="AK29" s="4">
        <f>-5000000</f>
        <v>-5000000</v>
      </c>
      <c r="AL29" s="4">
        <f>-570+1320000*2+1705000+1650000+3520000+1100000</f>
        <v>10614430</v>
      </c>
      <c r="AM29" s="4">
        <f>-50000+700000+640000+200000+400000+240000+527181+34180939+7217140+689393+640000+10153840+1100000+309880+1879887+120000</f>
        <v>58948260</v>
      </c>
      <c r="AN29" s="4">
        <v>5185406</v>
      </c>
      <c r="AO29" s="4">
        <f>6892600+6534000</f>
        <v>13426600</v>
      </c>
      <c r="AP29" s="4">
        <f>837640</f>
        <v>837640</v>
      </c>
      <c r="AQ29" s="4">
        <f>217300</f>
        <v>217300</v>
      </c>
      <c r="AR29" s="4">
        <f>112000+177000+2519000</f>
        <v>2808000</v>
      </c>
      <c r="AS29" s="4">
        <v>0</v>
      </c>
      <c r="AT29" s="4">
        <v>0</v>
      </c>
      <c r="AU29" s="4">
        <v>1100000</v>
      </c>
      <c r="AV29" s="4">
        <v>0</v>
      </c>
      <c r="AW29" s="4">
        <f>2229175</f>
        <v>2229175</v>
      </c>
      <c r="AX29" s="4">
        <f>88934+290095</f>
        <v>379029</v>
      </c>
      <c r="AY29" s="4">
        <f>35210+22000+41800+22000+385000+250750+160600+21400+77550+22000</f>
        <v>1038310</v>
      </c>
      <c r="AZ29" s="4">
        <f t="shared" si="29"/>
        <v>-931094</v>
      </c>
      <c r="BA29" s="4">
        <f t="shared" si="11"/>
        <v>7121445</v>
      </c>
      <c r="BB29" s="4">
        <f t="shared" si="21"/>
        <v>1588884</v>
      </c>
      <c r="BC29" s="4">
        <f>-2500000-3000000-2000000</f>
        <v>-7500000</v>
      </c>
      <c r="BD29" s="4">
        <f>1097985+197359+5273218</f>
        <v>6568562</v>
      </c>
      <c r="BE29" s="4">
        <v>0</v>
      </c>
      <c r="BF29" s="4">
        <v>0</v>
      </c>
      <c r="BG29" s="4">
        <v>0</v>
      </c>
      <c r="BH29" s="4">
        <v>344</v>
      </c>
      <c r="BI29" s="4">
        <f>105470</f>
        <v>105470</v>
      </c>
      <c r="BJ29" s="4">
        <v>0</v>
      </c>
      <c r="BK29" s="4">
        <v>0</v>
      </c>
      <c r="BL29" s="4">
        <v>0</v>
      </c>
      <c r="BM29" s="4">
        <v>0</v>
      </c>
      <c r="BN29" s="4">
        <f>135000+819000+1647800+1056000+884000+90000+416000+35000+177650+1568000+9775+177750</f>
        <v>7015975</v>
      </c>
      <c r="BO29" s="4">
        <v>0</v>
      </c>
      <c r="BP29" s="4">
        <v>0</v>
      </c>
      <c r="BQ29" s="4">
        <v>0</v>
      </c>
      <c r="BR29" s="4">
        <v>0</v>
      </c>
    </row>
    <row r="30" spans="1:70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1"/>
        <v>76505117</v>
      </c>
      <c r="I30" s="4">
        <f t="shared" si="12"/>
        <v>15058897</v>
      </c>
      <c r="J30" s="4">
        <f t="shared" si="22"/>
        <v>30589986</v>
      </c>
      <c r="K30" s="4">
        <f t="shared" si="2"/>
        <v>86214014</v>
      </c>
      <c r="L30" s="4">
        <f t="shared" si="3"/>
        <v>80814014</v>
      </c>
      <c r="M30" s="4">
        <f t="shared" si="13"/>
        <v>5400000</v>
      </c>
      <c r="N30" s="4">
        <f t="shared" si="4"/>
        <v>76505117</v>
      </c>
      <c r="O30" s="4">
        <f t="shared" si="14"/>
        <v>72220657</v>
      </c>
      <c r="P30" s="4">
        <f t="shared" si="5"/>
        <v>4284460</v>
      </c>
      <c r="Q30" s="4">
        <f t="shared" si="6"/>
        <v>9708897</v>
      </c>
      <c r="R30" s="4">
        <f t="shared" si="7"/>
        <v>5350000</v>
      </c>
      <c r="S30" s="4">
        <f t="shared" si="8"/>
        <v>0</v>
      </c>
      <c r="T30" s="4">
        <f t="shared" si="23"/>
        <v>82176482</v>
      </c>
      <c r="U30" s="4">
        <f t="shared" si="9"/>
        <v>69547277</v>
      </c>
      <c r="V30" s="4">
        <f t="shared" si="16"/>
        <v>12629205</v>
      </c>
      <c r="W30" s="4">
        <f t="shared" si="17"/>
        <v>26571410</v>
      </c>
      <c r="X30" s="4">
        <f t="shared" si="18"/>
        <v>79776482</v>
      </c>
      <c r="Y30" s="4">
        <f t="shared" si="10"/>
        <v>69547277</v>
      </c>
      <c r="Z30" s="4">
        <f t="shared" si="19"/>
        <v>10229205</v>
      </c>
      <c r="AA30" s="4">
        <v>0</v>
      </c>
      <c r="AB30" s="4">
        <f>38835385+1638845+2110050+19977573+11814629</f>
        <v>74376482</v>
      </c>
      <c r="AC30" s="4">
        <f>5000000+200000-1700000-1100000</f>
        <v>2400000</v>
      </c>
      <c r="AD30" s="4">
        <v>0</v>
      </c>
      <c r="AE30" s="4">
        <v>0</v>
      </c>
      <c r="AF30" s="4">
        <f>-16000000-32000000-1450000-5000000-200000-800000-4000000-1940000-5000000-28000000+16000000+32000000+1450000+5000000+200000+800000+4000000+1940000+5000000+28000000</f>
        <v>0</v>
      </c>
      <c r="AG30" s="4">
        <f>3600000+1800000</f>
        <v>5400000</v>
      </c>
      <c r="AH30" s="4">
        <v>0</v>
      </c>
      <c r="AI30" s="4">
        <f>165000</f>
        <v>165000</v>
      </c>
      <c r="AJ30" s="4">
        <v>0</v>
      </c>
      <c r="AK30" s="4">
        <v>0</v>
      </c>
      <c r="AL30" s="4">
        <f>550000*3+600000+550000+2640000+1705000</f>
        <v>7145000</v>
      </c>
      <c r="AM30" s="4">
        <f>200000+700000+640000+400000+44510243+5022280+1100000</f>
        <v>52572523</v>
      </c>
      <c r="AN30" s="4">
        <v>0</v>
      </c>
      <c r="AO30" s="4">
        <v>5238200</v>
      </c>
      <c r="AP30" s="4">
        <f>943400</f>
        <v>943400</v>
      </c>
      <c r="AQ30" s="4">
        <f>2220590+98540</f>
        <v>2319130</v>
      </c>
      <c r="AR30" s="4">
        <v>0</v>
      </c>
      <c r="AS30" s="4">
        <v>0</v>
      </c>
      <c r="AT30" s="4">
        <v>0</v>
      </c>
      <c r="AU30" s="4">
        <f>-3500000+1100000</f>
        <v>-2400000</v>
      </c>
      <c r="AV30" s="4">
        <v>25000</v>
      </c>
      <c r="AW30" s="4">
        <f>2404975</f>
        <v>2404975</v>
      </c>
      <c r="AX30" s="4">
        <f>68852+280737</f>
        <v>349589</v>
      </c>
      <c r="AY30" s="4">
        <f>4400+35210+44400+19060+41800+140170+250750+160600+16190+49880+22000</f>
        <v>784460</v>
      </c>
      <c r="AZ30" s="4">
        <f t="shared" si="29"/>
        <v>9387532</v>
      </c>
      <c r="BA30" s="4">
        <f t="shared" si="11"/>
        <v>6957840</v>
      </c>
      <c r="BB30" s="4">
        <f t="shared" si="21"/>
        <v>4018576</v>
      </c>
      <c r="BC30" s="4">
        <f>200000+1200000+40000+810000+500000+200000</f>
        <v>2950000</v>
      </c>
      <c r="BD30" s="4">
        <f>2628280+224584+47780+50000+2085973+1400915</f>
        <v>6437532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f>468000+1373000+66500+75240+810000+3100+479000+175000</f>
        <v>3449840</v>
      </c>
      <c r="BO30" s="4">
        <v>3500000</v>
      </c>
      <c r="BP30" s="5">
        <f>8000</f>
        <v>8000</v>
      </c>
      <c r="BQ30" s="4">
        <v>0</v>
      </c>
      <c r="BR30" s="4">
        <v>0</v>
      </c>
    </row>
    <row r="31" spans="1:70">
      <c r="A31">
        <v>2024</v>
      </c>
      <c r="B31">
        <v>11</v>
      </c>
      <c r="C31">
        <v>38</v>
      </c>
      <c r="D31">
        <v>67</v>
      </c>
      <c r="E31">
        <v>23</v>
      </c>
      <c r="F31">
        <v>48</v>
      </c>
      <c r="G31" s="4">
        <f t="shared" si="0"/>
        <v>103554630</v>
      </c>
      <c r="H31" s="4">
        <f t="shared" si="1"/>
        <v>95426815</v>
      </c>
      <c r="I31" s="4">
        <f t="shared" si="12"/>
        <v>8127815</v>
      </c>
      <c r="J31" s="4">
        <f t="shared" si="22"/>
        <v>38717801</v>
      </c>
      <c r="K31" s="4">
        <f t="shared" si="2"/>
        <v>95154630</v>
      </c>
      <c r="L31" s="4">
        <f t="shared" si="3"/>
        <v>89988832</v>
      </c>
      <c r="M31" s="4">
        <f t="shared" si="13"/>
        <v>3600000</v>
      </c>
      <c r="N31" s="4">
        <f t="shared" si="4"/>
        <v>95426815</v>
      </c>
      <c r="O31" s="4">
        <f t="shared" si="14"/>
        <v>89014597</v>
      </c>
      <c r="P31" s="4">
        <f t="shared" si="5"/>
        <v>4846420</v>
      </c>
      <c r="Q31" s="4">
        <f t="shared" si="6"/>
        <v>-272185</v>
      </c>
      <c r="R31" s="4">
        <f t="shared" si="7"/>
        <v>8400000</v>
      </c>
      <c r="S31" s="4">
        <f t="shared" si="8"/>
        <v>0</v>
      </c>
      <c r="T31" s="4">
        <f t="shared" si="23"/>
        <v>98552268</v>
      </c>
      <c r="U31" s="4">
        <f t="shared" si="9"/>
        <v>90728321</v>
      </c>
      <c r="V31" s="4">
        <f t="shared" si="16"/>
        <v>7823947</v>
      </c>
      <c r="W31" s="4">
        <f t="shared" si="17"/>
        <v>34395357</v>
      </c>
      <c r="X31" s="4">
        <f t="shared" si="18"/>
        <v>87352268</v>
      </c>
      <c r="Y31" s="4">
        <f t="shared" si="10"/>
        <v>90728321</v>
      </c>
      <c r="Z31" s="4">
        <f t="shared" si="19"/>
        <v>-3376053</v>
      </c>
      <c r="AA31" s="4">
        <v>0</v>
      </c>
      <c r="AB31" s="4">
        <f>30260724+168000+5345879+10481986+37495679</f>
        <v>83752268</v>
      </c>
      <c r="AC31" s="4">
        <f>5000000+4000000+2200000</f>
        <v>11200000</v>
      </c>
      <c r="AD31" s="4">
        <v>0</v>
      </c>
      <c r="AE31" s="4">
        <v>0</v>
      </c>
      <c r="AF31" s="4">
        <f>-32000000-5000000-4200000-5000000-2600000-9000000-11000000+32000000+5000000+4200000+5000000+2600000+9000000+11000000-100000+100000+300000-300000</f>
        <v>0</v>
      </c>
      <c r="AG31" s="4">
        <f>3600000</f>
        <v>3600000</v>
      </c>
      <c r="AH31" s="4">
        <f>278898+1170000+116900</f>
        <v>1565798</v>
      </c>
      <c r="AI31" s="4">
        <f>165000</f>
        <v>165000</v>
      </c>
      <c r="AJ31" s="4">
        <v>0</v>
      </c>
      <c r="AK31" s="4">
        <v>0</v>
      </c>
      <c r="AL31" s="4">
        <f>1650000+3520000+1100000+550000*3+600000+2640000+1705000+1650000+3520000+1100000+550000*2</f>
        <v>20235000</v>
      </c>
      <c r="AM31" s="4">
        <f>700000+640000+150000+400000+44733850+5572140+1063700</f>
        <v>53259690</v>
      </c>
      <c r="AN31" s="4">
        <v>4177120</v>
      </c>
      <c r="AO31" s="4">
        <v>5995000</v>
      </c>
      <c r="AP31" s="4">
        <f>709400</f>
        <v>709400</v>
      </c>
      <c r="AQ31" s="4">
        <f>96200+2163240</f>
        <v>2259440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f>1320742</f>
        <v>1320742</v>
      </c>
      <c r="AX31" s="4">
        <f>17213+279084+88934</f>
        <v>385231</v>
      </c>
      <c r="AY31" s="4">
        <f>35210+22000*2+41800+250750+160600+19780+81760+22000</f>
        <v>655900</v>
      </c>
      <c r="AZ31" s="4">
        <f t="shared" si="29"/>
        <v>5002362</v>
      </c>
      <c r="BA31" s="4">
        <f t="shared" si="11"/>
        <v>4698494</v>
      </c>
      <c r="BB31" s="4">
        <f t="shared" si="21"/>
        <v>4322444</v>
      </c>
      <c r="BC31" s="4">
        <f>-2300000+200000-700000</f>
        <v>-2800000</v>
      </c>
      <c r="BD31" s="4">
        <f>858937+3014443+3928982</f>
        <v>7802362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5">
        <f>25000+201600+638000+949000+446050+247650+1331000+156000+249000+413150</f>
        <v>4656450</v>
      </c>
      <c r="BO31" s="4">
        <v>0</v>
      </c>
      <c r="BP31" s="4">
        <v>0</v>
      </c>
      <c r="BQ31" s="4">
        <v>28644</v>
      </c>
      <c r="BR31" s="5">
        <f>13400</f>
        <v>13400</v>
      </c>
    </row>
    <row r="32" spans="1:70">
      <c r="A32">
        <v>2024</v>
      </c>
      <c r="B32">
        <v>12</v>
      </c>
      <c r="C32">
        <v>37</v>
      </c>
      <c r="D32">
        <v>51</v>
      </c>
      <c r="E32">
        <v>21</v>
      </c>
      <c r="F32">
        <v>45</v>
      </c>
      <c r="G32" s="4">
        <f t="shared" si="0"/>
        <v>72408586</v>
      </c>
      <c r="H32" s="4">
        <f t="shared" si="1"/>
        <v>77803150</v>
      </c>
      <c r="I32" s="4">
        <f t="shared" si="12"/>
        <v>-5394564</v>
      </c>
      <c r="J32" s="4">
        <f t="shared" si="22"/>
        <v>33323237</v>
      </c>
      <c r="K32" s="4">
        <f t="shared" si="2"/>
        <v>72408586</v>
      </c>
      <c r="L32" s="4">
        <f t="shared" si="3"/>
        <v>62217729</v>
      </c>
      <c r="M32" s="4">
        <f t="shared" si="13"/>
        <v>1213157</v>
      </c>
      <c r="N32" s="4">
        <f t="shared" si="4"/>
        <v>77803150</v>
      </c>
      <c r="O32" s="4">
        <f t="shared" si="14"/>
        <v>77070610</v>
      </c>
      <c r="P32" s="4">
        <f t="shared" si="5"/>
        <v>-8245160</v>
      </c>
      <c r="Q32" s="4">
        <f t="shared" si="6"/>
        <v>-5394564</v>
      </c>
      <c r="R32" s="4">
        <f t="shared" si="7"/>
        <v>0</v>
      </c>
      <c r="S32" s="4">
        <f t="shared" si="8"/>
        <v>0</v>
      </c>
      <c r="T32" s="4">
        <f t="shared" si="23"/>
        <v>66496333</v>
      </c>
      <c r="U32" s="4">
        <f t="shared" si="9"/>
        <v>72646203</v>
      </c>
      <c r="V32" s="4">
        <f t="shared" si="16"/>
        <v>-6149870</v>
      </c>
      <c r="W32" s="4">
        <f t="shared" si="17"/>
        <v>28245487</v>
      </c>
      <c r="X32" s="4">
        <f t="shared" si="18"/>
        <v>66496333</v>
      </c>
      <c r="Y32" s="4">
        <f t="shared" si="10"/>
        <v>72646203</v>
      </c>
      <c r="Z32" s="4">
        <f t="shared" si="19"/>
        <v>-6149870</v>
      </c>
      <c r="AA32" s="4">
        <v>0</v>
      </c>
      <c r="AB32" s="4">
        <f>43532639+3985842+2147935+15618448</f>
        <v>65284864</v>
      </c>
      <c r="AC32" s="4">
        <v>0</v>
      </c>
      <c r="AD32" s="4">
        <v>0</v>
      </c>
      <c r="AE32" s="4">
        <v>0</v>
      </c>
      <c r="AF32" s="4">
        <f>3000000-34000000-30000000-15000000-10000000+34000000+30000000+15000000+10000000-3000000</f>
        <v>0</v>
      </c>
      <c r="AG32" s="4">
        <f>5160+1200000+3433+43+1+405+2427</f>
        <v>1211469</v>
      </c>
      <c r="AH32" s="4">
        <f>1170000+1170000+168000+2340000+1070000+163700+1170000+252000+1170000</f>
        <v>8673700</v>
      </c>
      <c r="AI32" s="4">
        <f>165000</f>
        <v>165000</v>
      </c>
      <c r="AJ32" s="4">
        <f>-5000000-5000000-700000</f>
        <v>-10700000</v>
      </c>
      <c r="AK32" s="4">
        <v>0</v>
      </c>
      <c r="AL32" s="4">
        <f>550000+550000+600000+550000+2640000+1705000+3520000+652500+550000+550000+660000+1650000+1100000</f>
        <v>15277500</v>
      </c>
      <c r="AM32" s="4">
        <f>700000+640000+200000+400000+45593830+5548800</f>
        <v>53082630</v>
      </c>
      <c r="AN32" s="4">
        <v>0</v>
      </c>
      <c r="AO32" s="4">
        <v>0</v>
      </c>
      <c r="AP32" s="4">
        <f>1052250</f>
        <v>1052250</v>
      </c>
      <c r="AQ32" s="4">
        <f>1762490+65300</f>
        <v>1827790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f>541987+1315835</f>
        <v>1857822</v>
      </c>
      <c r="AX32" s="4">
        <f>84590+270081</f>
        <v>354671</v>
      </c>
      <c r="AY32" s="4">
        <f>121010+4400+385000+250750+160600+33900+77180+22000</f>
        <v>1054840</v>
      </c>
      <c r="AZ32" s="4">
        <f t="shared" si="29"/>
        <v>5912253</v>
      </c>
      <c r="BA32" s="4">
        <f t="shared" si="11"/>
        <v>5156947</v>
      </c>
      <c r="BB32" s="4">
        <f t="shared" si="21"/>
        <v>5077750</v>
      </c>
      <c r="BC32" s="4">
        <v>0</v>
      </c>
      <c r="BD32" s="4">
        <f>3304702+1044547+1561316</f>
        <v>5910565</v>
      </c>
      <c r="BE32" s="4">
        <v>0</v>
      </c>
      <c r="BF32" s="4">
        <v>0</v>
      </c>
      <c r="BG32" s="4">
        <v>0</v>
      </c>
      <c r="BH32" s="4">
        <f>1418+270</f>
        <v>1688</v>
      </c>
      <c r="BI32" s="4">
        <f>12000+292000</f>
        <v>304000</v>
      </c>
      <c r="BJ32" s="5">
        <f>1400000</f>
        <v>1400000</v>
      </c>
      <c r="BK32" s="4">
        <v>0</v>
      </c>
      <c r="BL32" s="4">
        <v>0</v>
      </c>
      <c r="BM32" s="4">
        <v>0</v>
      </c>
      <c r="BN32" s="4">
        <f>1373000+1017000+149000+48000+837000</f>
        <v>3424000</v>
      </c>
      <c r="BO32" s="4">
        <v>0</v>
      </c>
      <c r="BP32" s="4">
        <v>0</v>
      </c>
      <c r="BQ32" s="4">
        <v>28947</v>
      </c>
      <c r="BR32" s="4">
        <v>0</v>
      </c>
    </row>
    <row r="33" spans="1:70">
      <c r="A33">
        <v>2025</v>
      </c>
      <c r="B33">
        <v>1</v>
      </c>
      <c r="C33">
        <v>38</v>
      </c>
      <c r="D33">
        <f t="shared" ref="D33:D34" si="30">D32</f>
        <v>51</v>
      </c>
      <c r="E33">
        <v>20</v>
      </c>
      <c r="F33">
        <v>40</v>
      </c>
      <c r="G33" s="4">
        <f t="shared" si="0"/>
        <v>71326198</v>
      </c>
      <c r="H33" s="4">
        <f t="shared" si="1"/>
        <v>83321959</v>
      </c>
      <c r="I33" s="4">
        <f t="shared" si="12"/>
        <v>-11995761</v>
      </c>
      <c r="J33" s="4">
        <f t="shared" si="22"/>
        <v>21327476</v>
      </c>
      <c r="K33" s="4">
        <f t="shared" si="2"/>
        <v>53626198</v>
      </c>
      <c r="L33" s="4">
        <f t="shared" si="3"/>
        <v>56120046</v>
      </c>
      <c r="M33" s="4">
        <f t="shared" si="13"/>
        <v>7200000</v>
      </c>
      <c r="N33" s="4">
        <f t="shared" si="4"/>
        <v>83321959</v>
      </c>
      <c r="O33" s="4">
        <f t="shared" si="14"/>
        <v>86230117</v>
      </c>
      <c r="P33" s="4">
        <f t="shared" si="5"/>
        <v>-3914310</v>
      </c>
      <c r="Q33" s="4">
        <f t="shared" si="6"/>
        <v>-29695761</v>
      </c>
      <c r="R33" s="4">
        <f t="shared" si="7"/>
        <v>7000000</v>
      </c>
      <c r="S33" s="4">
        <f t="shared" si="8"/>
        <v>0</v>
      </c>
      <c r="T33" s="4">
        <f t="shared" si="23"/>
        <v>59921390</v>
      </c>
      <c r="U33" s="4">
        <f t="shared" si="9"/>
        <v>77644685</v>
      </c>
      <c r="V33" s="4">
        <f t="shared" si="16"/>
        <v>-17723295</v>
      </c>
      <c r="W33" s="4">
        <f t="shared" si="17"/>
        <v>10522192</v>
      </c>
      <c r="X33" s="4">
        <f t="shared" si="18"/>
        <v>61621390</v>
      </c>
      <c r="Y33" s="4">
        <f t="shared" si="10"/>
        <v>77644685</v>
      </c>
      <c r="Z33" s="4">
        <f t="shared" si="19"/>
        <v>-16023295</v>
      </c>
      <c r="AA33" s="4">
        <v>0</v>
      </c>
      <c r="AB33" s="4">
        <f>42562589+4211393+3339750+3896234+411424</f>
        <v>54421390</v>
      </c>
      <c r="AC33" s="4">
        <f>5000000+4000000</f>
        <v>9000000</v>
      </c>
      <c r="AD33" s="4">
        <f>-8700000-2000000</f>
        <v>-10700000</v>
      </c>
      <c r="AE33" s="4">
        <v>0</v>
      </c>
      <c r="AF33" s="4">
        <f>-10000000-50000000-100000-5000000-4000000-5000000-4300000-4000000-6000000+2000000+10000000+50000000+100000+5000000+4000000+5000000+4300000+4000000+6000000-100000-300000-2000000+100000+3887-3887+305234-5234</f>
        <v>0</v>
      </c>
      <c r="AG33" s="4">
        <f>5400000+1800000</f>
        <v>7200000</v>
      </c>
      <c r="AH33" s="4">
        <f>252000*2+166152+168000+168000</f>
        <v>1006152</v>
      </c>
      <c r="AI33" s="4">
        <f>165000</f>
        <v>165000</v>
      </c>
      <c r="AJ33" s="4">
        <v>0</v>
      </c>
      <c r="AK33" s="4">
        <f>-5000000</f>
        <v>-5000000</v>
      </c>
      <c r="AL33" s="4">
        <f>600000+550000+2640000+1705000+3520000+500000</f>
        <v>9515000</v>
      </c>
      <c r="AM33" s="4">
        <f>150000+640000+400000+193400+2079720+42870374+6407730</f>
        <v>52741224</v>
      </c>
      <c r="AN33" s="4">
        <f>100000</f>
        <v>100000</v>
      </c>
      <c r="AO33" s="4">
        <f>6274400+5464800</f>
        <v>11739200</v>
      </c>
      <c r="AP33" s="4">
        <f>931710+34000</f>
        <v>965710</v>
      </c>
      <c r="AQ33" s="4">
        <f>-48650+1889680+99460+261070</f>
        <v>2201560</v>
      </c>
      <c r="AR33" s="4">
        <v>0</v>
      </c>
      <c r="AS33" s="4">
        <f>225000</f>
        <v>225000</v>
      </c>
      <c r="AT33" s="4">
        <v>0</v>
      </c>
      <c r="AU33" s="4">
        <f>1100000</f>
        <v>1100000</v>
      </c>
      <c r="AV33" s="4">
        <v>0</v>
      </c>
      <c r="AW33" s="4">
        <f>750975+1011491</f>
        <v>1762466</v>
      </c>
      <c r="AX33" s="4">
        <f>14098+73457+27008+252520</f>
        <v>367083</v>
      </c>
      <c r="AY33" s="4">
        <f>35210+85800+30000+250750+160600+23930+86100+61900+22000</f>
        <v>756290</v>
      </c>
      <c r="AZ33" s="4">
        <f t="shared" si="29"/>
        <v>11404808</v>
      </c>
      <c r="BA33" s="4">
        <f t="shared" si="11"/>
        <v>5677274</v>
      </c>
      <c r="BB33" s="4">
        <f t="shared" si="21"/>
        <v>10805284</v>
      </c>
      <c r="BC33" s="4">
        <f>-2000000</f>
        <v>-2000000</v>
      </c>
      <c r="BD33" s="4">
        <f>2063615+178133+463060</f>
        <v>2704808</v>
      </c>
      <c r="BE33" s="4">
        <v>0</v>
      </c>
      <c r="BF33" s="4">
        <f>8700000+2000000</f>
        <v>10700000</v>
      </c>
      <c r="BG33" s="4">
        <v>0</v>
      </c>
      <c r="BH33" s="4">
        <v>0</v>
      </c>
      <c r="BI33" s="4">
        <v>0</v>
      </c>
      <c r="BJ33" s="6">
        <v>0</v>
      </c>
      <c r="BK33" s="4">
        <v>0</v>
      </c>
      <c r="BL33" s="4">
        <v>0</v>
      </c>
      <c r="BM33" s="4">
        <v>0</v>
      </c>
      <c r="BN33" s="4">
        <f>303550+1437000+104000+78000+422000+811300+936000+70000+1432000+66000</f>
        <v>5659850</v>
      </c>
      <c r="BO33" s="4">
        <v>0</v>
      </c>
      <c r="BP33" s="4">
        <v>0</v>
      </c>
      <c r="BQ33" s="4">
        <f>13024</f>
        <v>13024</v>
      </c>
      <c r="BR33" s="4">
        <f>-4400-4400+4400+4400+4400</f>
        <v>4400</v>
      </c>
    </row>
    <row r="34" spans="1:70">
      <c r="A34">
        <v>2025</v>
      </c>
      <c r="B34">
        <v>2</v>
      </c>
      <c r="C34">
        <v>39</v>
      </c>
      <c r="D34">
        <f t="shared" si="30"/>
        <v>51</v>
      </c>
      <c r="E34">
        <v>19</v>
      </c>
      <c r="F34">
        <v>33</v>
      </c>
      <c r="G34" s="4">
        <f t="shared" si="0"/>
        <v>99191251</v>
      </c>
      <c r="H34" s="4">
        <f t="shared" si="1"/>
        <v>96895178</v>
      </c>
      <c r="I34" s="4">
        <f t="shared" si="12"/>
        <v>2296073</v>
      </c>
      <c r="J34" s="4">
        <f t="shared" si="22"/>
        <v>23623549</v>
      </c>
      <c r="K34" s="4">
        <f t="shared" si="2"/>
        <v>91691251</v>
      </c>
      <c r="L34" s="4">
        <f t="shared" si="3"/>
        <v>76509393</v>
      </c>
      <c r="M34" s="4">
        <f t="shared" si="13"/>
        <v>0</v>
      </c>
      <c r="N34" s="4">
        <f t="shared" si="4"/>
        <v>96895178</v>
      </c>
      <c r="O34" s="4">
        <f t="shared" si="14"/>
        <v>86564060</v>
      </c>
      <c r="P34" s="4">
        <f t="shared" si="5"/>
        <v>5149260</v>
      </c>
      <c r="Q34" s="4">
        <f t="shared" si="6"/>
        <v>-5203927</v>
      </c>
      <c r="R34" s="4">
        <f t="shared" si="7"/>
        <v>17500000</v>
      </c>
      <c r="S34" s="4">
        <f t="shared" si="8"/>
        <v>0</v>
      </c>
      <c r="T34" s="4">
        <f t="shared" si="23"/>
        <v>94240441</v>
      </c>
      <c r="U34" s="4">
        <f t="shared" si="9"/>
        <v>88960068</v>
      </c>
      <c r="V34" s="4">
        <f t="shared" si="16"/>
        <v>5280373</v>
      </c>
      <c r="W34" s="4">
        <f t="shared" si="17"/>
        <v>15802565</v>
      </c>
      <c r="X34" s="4">
        <f t="shared" si="18"/>
        <v>69240441</v>
      </c>
      <c r="Y34" s="4">
        <f t="shared" si="10"/>
        <v>88960068</v>
      </c>
      <c r="Z34" s="4">
        <f t="shared" si="19"/>
        <v>-19719627</v>
      </c>
      <c r="AA34" s="4">
        <v>0</v>
      </c>
      <c r="AB34" s="4">
        <f>36929982+32310459</f>
        <v>69240441</v>
      </c>
      <c r="AC34" s="4">
        <f>5000000+5000000+2000000+3000000</f>
        <v>15000000</v>
      </c>
      <c r="AD34" s="4">
        <f>10000000</f>
        <v>10000000</v>
      </c>
      <c r="AE34" s="4">
        <v>0</v>
      </c>
      <c r="AF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G34" s="4">
        <v>0</v>
      </c>
      <c r="AH34" s="4">
        <f>1170000+249858+1170000*3+252000</f>
        <v>5181858</v>
      </c>
      <c r="AI34" s="4">
        <f>165000</f>
        <v>165000</v>
      </c>
      <c r="AJ34" s="4">
        <v>0</v>
      </c>
      <c r="AK34" s="4">
        <v>0</v>
      </c>
      <c r="AL34" s="4">
        <f>1650000+1100000+550000+605000+550000+2640000+1705000+550000+550000+3520000</f>
        <v>13420000</v>
      </c>
      <c r="AM34" s="4">
        <f>200000+600000+640000+400000+43719580+5948200+2755400</f>
        <v>54263180</v>
      </c>
      <c r="AN34" s="4">
        <v>0</v>
      </c>
      <c r="AO34" s="4">
        <v>0</v>
      </c>
      <c r="AP34" s="4">
        <f>1036010</f>
        <v>1036010</v>
      </c>
      <c r="AQ34" s="4">
        <f>106070+2036930+20500*2+157660</f>
        <v>2341660</v>
      </c>
      <c r="AR34" s="4">
        <f>2822000</f>
        <v>2822000</v>
      </c>
      <c r="AS34" s="4">
        <f>30000</f>
        <v>30000</v>
      </c>
      <c r="AT34" s="4">
        <v>0</v>
      </c>
      <c r="AU34" s="4">
        <f>4290000</f>
        <v>4290000</v>
      </c>
      <c r="AV34" s="4">
        <f>39766+153417+36215</f>
        <v>229398</v>
      </c>
      <c r="AW34" s="4">
        <f>2541375</f>
        <v>2541375</v>
      </c>
      <c r="AX34" s="4">
        <f>245876+96451</f>
        <v>342327</v>
      </c>
      <c r="AY34" s="4">
        <f>35210+121800+250750+385000+385000+36000+45000+160600+59400+24660+71840+22000+400000+300000</f>
        <v>2297260</v>
      </c>
      <c r="AZ34" s="4">
        <f t="shared" ref="AZ34:AZ40" si="31">SUM(BC34:BH34)</f>
        <v>4950810</v>
      </c>
      <c r="BA34" s="4">
        <f t="shared" si="11"/>
        <v>7935110</v>
      </c>
      <c r="BB34" s="4">
        <f t="shared" si="21"/>
        <v>7820984</v>
      </c>
      <c r="BC34" s="4">
        <f>2500000</f>
        <v>2500000</v>
      </c>
      <c r="BD34" s="4">
        <f>800229+5255185+6395396</f>
        <v>12450810</v>
      </c>
      <c r="BE34" s="4">
        <v>0</v>
      </c>
      <c r="BF34" s="4">
        <f>-10000000</f>
        <v>-10000000</v>
      </c>
      <c r="BG34" s="4">
        <v>0</v>
      </c>
      <c r="BH34" s="4">
        <v>0</v>
      </c>
      <c r="BI34" s="4">
        <v>0</v>
      </c>
      <c r="BJ34" s="6">
        <v>0</v>
      </c>
      <c r="BK34" s="4">
        <v>0</v>
      </c>
      <c r="BL34" s="4">
        <v>0</v>
      </c>
      <c r="BM34" s="4">
        <v>0</v>
      </c>
      <c r="BN34" s="4">
        <f>73000+30000+48000+503000+500000+17000+1018500+2235600+2780360+286750+130000+260000</f>
        <v>7882210</v>
      </c>
      <c r="BO34" s="4">
        <v>0</v>
      </c>
      <c r="BP34" s="4">
        <v>0</v>
      </c>
      <c r="BQ34" s="4">
        <f>52900</f>
        <v>52900</v>
      </c>
      <c r="BR34" s="4">
        <v>0</v>
      </c>
    </row>
    <row r="35" spans="1:70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1"/>
        <v>118450296</v>
      </c>
      <c r="I35" s="4">
        <f t="shared" si="12"/>
        <v>36742648</v>
      </c>
      <c r="J35" s="4">
        <f t="shared" si="22"/>
        <v>60366197</v>
      </c>
      <c r="K35" s="4">
        <f t="shared" si="2"/>
        <v>122192944</v>
      </c>
      <c r="L35" s="4">
        <f t="shared" si="3"/>
        <v>117564144</v>
      </c>
      <c r="M35" s="4">
        <f t="shared" si="13"/>
        <v>1801000</v>
      </c>
      <c r="N35" s="4">
        <f t="shared" si="4"/>
        <v>118450296</v>
      </c>
      <c r="O35" s="4">
        <f t="shared" si="14"/>
        <v>106275246</v>
      </c>
      <c r="P35" s="4">
        <f t="shared" si="5"/>
        <v>9347250</v>
      </c>
      <c r="Q35" s="4">
        <f t="shared" si="6"/>
        <v>3742648</v>
      </c>
      <c r="R35" s="4">
        <f t="shared" si="7"/>
        <v>-27000000</v>
      </c>
      <c r="S35" s="4">
        <f t="shared" si="8"/>
        <v>60000000</v>
      </c>
      <c r="T35" s="4">
        <f t="shared" si="23"/>
        <v>112597092</v>
      </c>
      <c r="U35" s="4">
        <f t="shared" si="9"/>
        <v>100833358</v>
      </c>
      <c r="V35" s="4">
        <f t="shared" si="16"/>
        <v>11763734</v>
      </c>
      <c r="W35" s="4">
        <f t="shared" si="17"/>
        <v>27566299</v>
      </c>
      <c r="X35" s="4">
        <f t="shared" si="18"/>
        <v>102597092</v>
      </c>
      <c r="Y35" s="4">
        <f t="shared" si="10"/>
        <v>100833358</v>
      </c>
      <c r="Z35" s="4">
        <f t="shared" si="19"/>
        <v>1763734</v>
      </c>
      <c r="AA35" s="4">
        <v>0</v>
      </c>
      <c r="AB35" s="4">
        <f>35262260+7125060+7235415+8443180+136000+5592130+37003047</f>
        <v>100797092</v>
      </c>
      <c r="AC35" s="4">
        <f>4000000+6000000</f>
        <v>10000000</v>
      </c>
      <c r="AD35" s="4">
        <v>0</v>
      </c>
      <c r="AE35" s="4">
        <v>0</v>
      </c>
      <c r="AF35" s="4">
        <f>-64000000-7800000-8600000-4000000-3000000-4000000-10000000+64000000+7800000+8600000+4000000+3000000+4000000+10000000-500000-200000+200000+500000</f>
        <v>0</v>
      </c>
      <c r="AG35" s="4">
        <v>1800000</v>
      </c>
      <c r="AH35" s="4">
        <f>50000+108000+90000+252000+1157130+146000+119330+69340+102000+69000+168000+60000+129000+168000</f>
        <v>2687800</v>
      </c>
      <c r="AI35" s="4">
        <f>165000+1830000+1500000</f>
        <v>3495000</v>
      </c>
      <c r="AJ35" s="4">
        <v>0</v>
      </c>
      <c r="AK35" s="4">
        <f>-5000000-5000000</f>
        <v>-10000000</v>
      </c>
      <c r="AL35" s="4">
        <f>151120+2640000+1650000+1100000+550000*2+1705000+3520000</f>
        <v>11866120</v>
      </c>
      <c r="AM35" s="4">
        <f>200000+600000+640000+400000+32034324+1718990+15708763+5355690+20080</f>
        <v>56677847</v>
      </c>
      <c r="AN35" s="4">
        <f>13026920</f>
        <v>13026920</v>
      </c>
      <c r="AO35" s="4">
        <f>5997200+5799200</f>
        <v>11796400</v>
      </c>
      <c r="AP35" s="4">
        <v>0</v>
      </c>
      <c r="AQ35" s="4">
        <f>-104630+152010+20500+104240+2273500</f>
        <v>2445620</v>
      </c>
      <c r="AR35" s="4">
        <v>0</v>
      </c>
      <c r="AS35" s="4">
        <v>0</v>
      </c>
      <c r="AT35" s="4">
        <v>0</v>
      </c>
      <c r="AU35" s="4">
        <v>0</v>
      </c>
      <c r="AV35" s="4">
        <f>20017+18903+73700</f>
        <v>112620</v>
      </c>
      <c r="AW35" s="4">
        <f>2437505+2755737</f>
        <v>5193242</v>
      </c>
      <c r="AX35" s="4">
        <f>114378+222081</f>
        <v>336459</v>
      </c>
      <c r="AY35" s="4">
        <f>-2000+79000+35210+85800+255930+250750+1000+160600+22690+94250+22000+1415000+3100+385000+385000+1000+1000</f>
        <v>3195330</v>
      </c>
      <c r="AZ35" s="4">
        <f t="shared" si="31"/>
        <v>42595852</v>
      </c>
      <c r="BA35" s="4">
        <f t="shared" si="11"/>
        <v>17616938</v>
      </c>
      <c r="BB35" s="4">
        <f t="shared" si="21"/>
        <v>32799898</v>
      </c>
      <c r="BC35" s="4">
        <f>1000000-4000000-10000000-24000000</f>
        <v>-37000000</v>
      </c>
      <c r="BD35" s="4">
        <f>12660703+4317236+2616913</f>
        <v>19594852</v>
      </c>
      <c r="BE35" s="4">
        <v>60000000</v>
      </c>
      <c r="BF35" s="4">
        <v>0</v>
      </c>
      <c r="BG35" s="4">
        <v>0</v>
      </c>
      <c r="BH35" s="4">
        <v>1000</v>
      </c>
      <c r="BI35" s="4">
        <f>66000+66000+8000</f>
        <v>140000</v>
      </c>
      <c r="BJ35" s="6">
        <v>0</v>
      </c>
      <c r="BK35" s="4">
        <v>0</v>
      </c>
      <c r="BL35" s="5">
        <f>155960+483500+224374</f>
        <v>863834</v>
      </c>
      <c r="BM35" s="5">
        <f>-400-6050-1680-12110</f>
        <v>-20240</v>
      </c>
      <c r="BN35" s="6">
        <f>51000+75240+23900+6000+64600+3168200+202500+1079000+2024000+1279000+2000000+983700+342650+718000+65000+90250+16000+64000+184300+555000+73150</f>
        <v>13065490</v>
      </c>
      <c r="BO35" s="4">
        <v>0</v>
      </c>
      <c r="BP35" s="4">
        <v>0</v>
      </c>
      <c r="BQ35" s="4">
        <f>425790+17064</f>
        <v>442854</v>
      </c>
      <c r="BR35" s="4">
        <f>2010000+35000+1080000</f>
        <v>3125000</v>
      </c>
    </row>
    <row r="36" spans="1:70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1"/>
        <v>103864298</v>
      </c>
      <c r="I36" s="4">
        <f t="shared" si="12"/>
        <v>-23496419</v>
      </c>
      <c r="J36" s="4">
        <f t="shared" si="22"/>
        <v>36869778</v>
      </c>
      <c r="K36" s="4">
        <f t="shared" si="2"/>
        <v>80757879</v>
      </c>
      <c r="L36" s="4">
        <f t="shared" si="3"/>
        <v>70015615</v>
      </c>
      <c r="M36" s="4">
        <f t="shared" si="13"/>
        <v>7200000</v>
      </c>
      <c r="N36" s="4">
        <f t="shared" si="4"/>
        <v>103864298</v>
      </c>
      <c r="O36" s="4">
        <f t="shared" si="14"/>
        <v>89997508</v>
      </c>
      <c r="P36" s="4">
        <f t="shared" si="5"/>
        <v>13324526</v>
      </c>
      <c r="Q36" s="4">
        <f t="shared" si="6"/>
        <v>-23106419</v>
      </c>
      <c r="R36" s="4">
        <f t="shared" si="7"/>
        <v>2610000</v>
      </c>
      <c r="S36" s="4">
        <f t="shared" si="8"/>
        <v>0</v>
      </c>
      <c r="T36" s="4">
        <f t="shared" si="23"/>
        <v>76844664</v>
      </c>
      <c r="U36" s="4">
        <f t="shared" si="9"/>
        <v>91545436</v>
      </c>
      <c r="V36" s="4">
        <f t="shared" si="16"/>
        <v>-14700772</v>
      </c>
      <c r="W36" s="4">
        <f t="shared" si="17"/>
        <v>12865527</v>
      </c>
      <c r="X36" s="4">
        <f t="shared" si="18"/>
        <v>73844664</v>
      </c>
      <c r="Y36" s="4">
        <f t="shared" si="10"/>
        <v>91545436</v>
      </c>
      <c r="Z36" s="4">
        <f t="shared" si="19"/>
        <v>-17700772</v>
      </c>
      <c r="AA36" s="4">
        <v>0</v>
      </c>
      <c r="AB36" s="4">
        <f>33671119+1621620+96030+6385190+24870705</f>
        <v>66644664</v>
      </c>
      <c r="AC36" s="4">
        <v>0</v>
      </c>
      <c r="AD36" s="4">
        <f>3000000</f>
        <v>3000000</v>
      </c>
      <c r="AE36" s="4">
        <v>0</v>
      </c>
      <c r="AF36" s="4">
        <f>-30000000-31425000-3000000-6000000-6000000-4000000-16000000+30000000+31425000+3000000+6000000+6000000+4000000+16000000-500000-200000+200000+500000</f>
        <v>0</v>
      </c>
      <c r="AG36" s="4">
        <f>1800000+5400000</f>
        <v>7200000</v>
      </c>
      <c r="AH36" s="4">
        <f>84000</f>
        <v>84000</v>
      </c>
      <c r="AI36" s="4">
        <f>165000+315000+480000</f>
        <v>960000</v>
      </c>
      <c r="AJ36" s="4">
        <v>0</v>
      </c>
      <c r="AK36" s="4">
        <v>0</v>
      </c>
      <c r="AL36" s="4">
        <f>550000+2640000+1650000+1100000+550000+1705000+3520000</f>
        <v>11715000</v>
      </c>
      <c r="AM36" s="4">
        <f>2543230+363000+700000+800000+70000+1000000+38936100+4022760+2245510+60000+2000000</f>
        <v>52740600</v>
      </c>
      <c r="AN36" s="4">
        <f>3198470+1258840+4675616+100000</f>
        <v>9232926</v>
      </c>
      <c r="AO36" s="4">
        <f>6555450</f>
        <v>6555450</v>
      </c>
      <c r="AP36" s="4">
        <f>-1040</f>
        <v>-1040</v>
      </c>
      <c r="AQ36" s="4">
        <f>2375470+20500+107050</f>
        <v>2503020</v>
      </c>
      <c r="AR36" s="4">
        <f>120000+77000+440000+2237000+94000+63000</f>
        <v>3031000</v>
      </c>
      <c r="AS36" s="4">
        <v>0</v>
      </c>
      <c r="AT36" s="4">
        <v>0</v>
      </c>
      <c r="AU36" s="4">
        <f>33000</f>
        <v>33000</v>
      </c>
      <c r="AV36" s="4">
        <f>200000+32050</f>
        <v>232050</v>
      </c>
      <c r="AW36" s="4">
        <f>281299+2737612</f>
        <v>3018911</v>
      </c>
      <c r="AX36" s="4">
        <f>126632+253287</f>
        <v>379919</v>
      </c>
      <c r="AY36" s="4">
        <f>35210+252280+250750+160600+23870+113660+224230</f>
        <v>1060600</v>
      </c>
      <c r="AZ36" s="4">
        <f t="shared" si="31"/>
        <v>3523215</v>
      </c>
      <c r="BA36" s="4">
        <f t="shared" si="11"/>
        <v>12318862</v>
      </c>
      <c r="BB36" s="4">
        <f t="shared" si="21"/>
        <v>24004251</v>
      </c>
      <c r="BC36" s="4">
        <f>500000+10000+100000+2000000</f>
        <v>2610000</v>
      </c>
      <c r="BD36" s="4">
        <f>1549560+223521+80000+372370+1289851+397913</f>
        <v>3913215</v>
      </c>
      <c r="BE36" s="4">
        <v>0</v>
      </c>
      <c r="BF36" s="4">
        <f>-3000000</f>
        <v>-3000000</v>
      </c>
      <c r="BG36" s="4">
        <f>3000000-3000000</f>
        <v>0</v>
      </c>
      <c r="BH36" s="4">
        <v>0</v>
      </c>
      <c r="BI36" s="4">
        <f>101592+81672+49000+65000+40000+90000+31000</f>
        <v>458264</v>
      </c>
      <c r="BJ36" s="6">
        <v>0</v>
      </c>
      <c r="BK36" s="4">
        <f>180394</f>
        <v>180394</v>
      </c>
      <c r="BL36" s="5">
        <f>580200+2707600+1063700</f>
        <v>4351500</v>
      </c>
      <c r="BM36" s="5">
        <f>71310</f>
        <v>71310</v>
      </c>
      <c r="BN36" s="4">
        <f>66500+369000+54000+3000000+680000+606000+378000+1183700+361500+550000</f>
        <v>7248700</v>
      </c>
      <c r="BO36" s="4">
        <v>0</v>
      </c>
      <c r="BP36" s="4">
        <v>0</v>
      </c>
      <c r="BQ36" s="4">
        <f>8694</f>
        <v>8694</v>
      </c>
      <c r="BR36" s="4">
        <v>0</v>
      </c>
    </row>
    <row r="37" spans="1:70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1"/>
        <v>84483353</v>
      </c>
      <c r="I37" s="4">
        <f t="shared" si="12"/>
        <v>22314591</v>
      </c>
      <c r="J37" s="4">
        <f t="shared" si="22"/>
        <v>59184369</v>
      </c>
      <c r="K37" s="4">
        <f t="shared" si="2"/>
        <v>108797944</v>
      </c>
      <c r="L37" s="4">
        <f t="shared" si="3"/>
        <v>103573281</v>
      </c>
      <c r="M37" s="4">
        <f t="shared" si="13"/>
        <v>0</v>
      </c>
      <c r="N37" s="4">
        <f t="shared" si="4"/>
        <v>84483353</v>
      </c>
      <c r="O37" s="4">
        <f t="shared" si="14"/>
        <v>82916160</v>
      </c>
      <c r="P37" s="4">
        <f t="shared" si="5"/>
        <v>1342530</v>
      </c>
      <c r="Q37" s="4">
        <f t="shared" si="6"/>
        <v>24314591</v>
      </c>
      <c r="R37" s="4">
        <f t="shared" si="7"/>
        <v>3000000</v>
      </c>
      <c r="S37" s="4">
        <f t="shared" si="8"/>
        <v>0</v>
      </c>
      <c r="T37" s="4">
        <f t="shared" si="23"/>
        <v>100920813</v>
      </c>
      <c r="U37" s="4">
        <f t="shared" si="9"/>
        <v>75518285</v>
      </c>
      <c r="V37" s="4">
        <f t="shared" si="16"/>
        <v>25402528</v>
      </c>
      <c r="W37" s="4">
        <f t="shared" si="17"/>
        <v>38268055</v>
      </c>
      <c r="X37" s="4">
        <f t="shared" si="18"/>
        <v>95920813</v>
      </c>
      <c r="Y37" s="4">
        <f t="shared" si="10"/>
        <v>75518285</v>
      </c>
      <c r="Z37" s="4">
        <f t="shared" si="19"/>
        <v>20402528</v>
      </c>
      <c r="AA37" s="4">
        <v>0</v>
      </c>
      <c r="AB37" s="4">
        <f>41881356+13726948+40312509</f>
        <v>95920813</v>
      </c>
      <c r="AC37" s="4">
        <v>0</v>
      </c>
      <c r="AD37" s="4">
        <v>5000000</v>
      </c>
      <c r="AE37" s="4">
        <v>0</v>
      </c>
      <c r="AF37" s="4">
        <f>4000000-38000000-4000000-5000000-1000000-11000000-15000000+38000000+4000000+5000000+1000000+11000000+15000000-400000-4000000+400000</f>
        <v>0</v>
      </c>
      <c r="AG37" s="4">
        <v>0</v>
      </c>
      <c r="AH37" s="4">
        <v>0</v>
      </c>
      <c r="AI37" s="4">
        <f>165000</f>
        <v>165000</v>
      </c>
      <c r="AJ37" s="4">
        <f>286000</f>
        <v>286000</v>
      </c>
      <c r="AK37" s="4">
        <v>0</v>
      </c>
      <c r="AL37" s="4">
        <f>1320000+720000+600000+1100000+1650000+550000+1705000+3520000+1650000+1100000+550000*2</f>
        <v>15015000</v>
      </c>
      <c r="AM37" s="4">
        <f>543150-435150+60000*2+2420000+55000+37560918+754260+1353800+580200+177283+4643530+363000+453150+1100000+770000+164390+510000</f>
        <v>51133531</v>
      </c>
      <c r="AN37" s="4">
        <v>0</v>
      </c>
      <c r="AO37" s="4">
        <v>0</v>
      </c>
      <c r="AP37" s="4">
        <v>0</v>
      </c>
      <c r="AQ37" s="4">
        <f>2138630+20500+20500</f>
        <v>2179630</v>
      </c>
      <c r="AR37" s="4">
        <f>70000+49600+35000+94000+56000</f>
        <v>304600</v>
      </c>
      <c r="AS37" s="4">
        <v>0</v>
      </c>
      <c r="AT37" s="4">
        <v>0</v>
      </c>
      <c r="AU37" s="4">
        <f>1100000+33000</f>
        <v>1133000</v>
      </c>
      <c r="AV37" s="4">
        <v>0</v>
      </c>
      <c r="AW37" s="4">
        <f>1544757+2601664</f>
        <v>4146421</v>
      </c>
      <c r="AX37" s="4">
        <f>120763+282410</f>
        <v>403173</v>
      </c>
      <c r="AY37" s="4">
        <f>35210+22000+41800+22000+250750+57600+160600+15050+146920</f>
        <v>751930</v>
      </c>
      <c r="AZ37" s="4">
        <f t="shared" si="31"/>
        <v>5877131</v>
      </c>
      <c r="BA37" s="4">
        <f t="shared" si="11"/>
        <v>8965068</v>
      </c>
      <c r="BB37" s="4">
        <f t="shared" si="21"/>
        <v>20916314</v>
      </c>
      <c r="BC37" s="4">
        <f>3000000</f>
        <v>3000000</v>
      </c>
      <c r="BD37" s="4">
        <f>2689081+5781232-968280+375098</f>
        <v>7877131</v>
      </c>
      <c r="BE37" s="4">
        <v>0</v>
      </c>
      <c r="BF37" s="4">
        <f>-5000000</f>
        <v>-5000000</v>
      </c>
      <c r="BG37" s="4">
        <v>0</v>
      </c>
      <c r="BH37" s="4">
        <v>0</v>
      </c>
      <c r="BI37" s="4">
        <f>134798+89865</f>
        <v>224663</v>
      </c>
      <c r="BJ37" s="6">
        <v>0</v>
      </c>
      <c r="BK37" s="4">
        <f>174575</f>
        <v>174575</v>
      </c>
      <c r="BL37" s="5">
        <f>-968280+968280+968280+2707600</f>
        <v>3675880</v>
      </c>
      <c r="BM37" s="5">
        <f>33040</f>
        <v>33040</v>
      </c>
      <c r="BN37" s="4">
        <f>5000+102000+1638000+144400+54150+698000+1110360+239400+184600+165000+516000</f>
        <v>4856910</v>
      </c>
      <c r="BO37" s="4">
        <v>0</v>
      </c>
      <c r="BP37" s="4">
        <v>0</v>
      </c>
      <c r="BQ37" s="4">
        <v>0</v>
      </c>
      <c r="BR37" s="4">
        <v>0</v>
      </c>
    </row>
    <row r="38" spans="1:70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1"/>
        <v>91904883</v>
      </c>
      <c r="I38" s="4">
        <f t="shared" si="12"/>
        <v>-15944487</v>
      </c>
      <c r="J38" s="4">
        <f t="shared" si="22"/>
        <v>43239882</v>
      </c>
      <c r="K38" s="4">
        <f t="shared" si="2"/>
        <v>75960396</v>
      </c>
      <c r="L38" s="4">
        <f t="shared" si="3"/>
        <v>75715286</v>
      </c>
      <c r="M38" s="4">
        <f t="shared" si="13"/>
        <v>15110</v>
      </c>
      <c r="N38" s="4">
        <f t="shared" si="4"/>
        <v>91904883</v>
      </c>
      <c r="O38" s="4">
        <f t="shared" si="14"/>
        <v>86784483</v>
      </c>
      <c r="P38" s="4">
        <f>SUM(AJ38:AK38,AN38,AY38+BJ38,BR38,BO38,AR38:AT38)</f>
        <v>4890400</v>
      </c>
      <c r="Q38" s="4">
        <f t="shared" si="6"/>
        <v>-15944487</v>
      </c>
      <c r="R38" s="4">
        <f t="shared" si="7"/>
        <v>0</v>
      </c>
      <c r="S38" s="4">
        <f t="shared" si="8"/>
        <v>0</v>
      </c>
      <c r="T38" s="4">
        <f t="shared" si="23"/>
        <v>66950830</v>
      </c>
      <c r="U38" s="4">
        <f t="shared" si="9"/>
        <v>80521101</v>
      </c>
      <c r="V38" s="4">
        <f t="shared" si="16"/>
        <v>-13570271</v>
      </c>
      <c r="W38" s="4">
        <f t="shared" si="17"/>
        <v>24697784</v>
      </c>
      <c r="X38" s="4">
        <f t="shared" si="18"/>
        <v>66950830</v>
      </c>
      <c r="Y38" s="4">
        <f t="shared" si="10"/>
        <v>80521101</v>
      </c>
      <c r="Z38" s="4">
        <f t="shared" si="19"/>
        <v>-13570271</v>
      </c>
      <c r="AA38" s="4">
        <v>0</v>
      </c>
      <c r="AB38" s="4">
        <f>38714231+28228685</f>
        <v>66942916</v>
      </c>
      <c r="AC38" s="4">
        <v>0</v>
      </c>
      <c r="AD38" s="4">
        <v>0</v>
      </c>
      <c r="AE38" s="4">
        <v>0</v>
      </c>
      <c r="AF38" s="4">
        <f>-50000000-5000000-5000000-9000000+50000000+5000000+5000000+9000000</f>
        <v>0</v>
      </c>
      <c r="AG38" s="4">
        <f>4747+2997+74+96</f>
        <v>7914</v>
      </c>
      <c r="AH38" s="4">
        <f>168000+62000</f>
        <v>230000</v>
      </c>
      <c r="AI38" s="4">
        <f>165000+139500</f>
        <v>304500</v>
      </c>
      <c r="AJ38" s="4">
        <v>0</v>
      </c>
      <c r="AK38" s="4">
        <f>200000+1800000</f>
        <v>2000000</v>
      </c>
      <c r="AL38" s="4">
        <f>1320000+720000+600000+410000+1705000+3520000</f>
        <v>8275000</v>
      </c>
      <c r="AM38" s="4">
        <f>580200+203070+180000+2420000+46203591+4230250+90750</f>
        <v>53907861</v>
      </c>
      <c r="AN38" s="4">
        <v>1500000</v>
      </c>
      <c r="AO38" s="4">
        <v>7285410</v>
      </c>
      <c r="AP38" s="4">
        <f>422320</f>
        <v>422320</v>
      </c>
      <c r="AQ38" s="4">
        <f>368720+250110+70490</f>
        <v>689320</v>
      </c>
      <c r="AR38" s="4">
        <f>56000+59000</f>
        <v>115000</v>
      </c>
      <c r="AS38" s="4">
        <v>0</v>
      </c>
      <c r="AT38" s="4">
        <v>0</v>
      </c>
      <c r="AU38" s="4">
        <f>550000+550000+33000</f>
        <v>1133000</v>
      </c>
      <c r="AV38" s="4">
        <v>0</v>
      </c>
      <c r="AW38" s="4">
        <v>3019800</v>
      </c>
      <c r="AX38" s="4">
        <f>118734+244756</f>
        <v>363490</v>
      </c>
      <c r="AY38" s="4">
        <f>48000+4400+35210+22000+41800+3100+10000+250750+2000+5200+160600+19150+112190+561000</f>
        <v>1275400</v>
      </c>
      <c r="AZ38" s="4">
        <f t="shared" si="31"/>
        <v>9009566</v>
      </c>
      <c r="BA38" s="4">
        <f t="shared" si="11"/>
        <v>11383782</v>
      </c>
      <c r="BB38" s="4">
        <f t="shared" si="21"/>
        <v>18542098</v>
      </c>
      <c r="BC38" s="4">
        <v>0</v>
      </c>
      <c r="BD38" s="4">
        <f>780410-5113+5446868+1550291+1229914</f>
        <v>9002370</v>
      </c>
      <c r="BE38" s="4">
        <v>0</v>
      </c>
      <c r="BF38" s="4">
        <v>0</v>
      </c>
      <c r="BG38" s="4">
        <v>0</v>
      </c>
      <c r="BH38" s="4">
        <f>5113+2083</f>
        <v>7196</v>
      </c>
      <c r="BI38" s="4">
        <v>0</v>
      </c>
      <c r="BJ38" s="6">
        <v>0</v>
      </c>
      <c r="BK38" s="4">
        <f>180394</f>
        <v>180394</v>
      </c>
      <c r="BL38" s="5">
        <f>2707600+968280</f>
        <v>3675880</v>
      </c>
      <c r="BM38" s="5">
        <f>-1173280+30040+3000</f>
        <v>-1140240</v>
      </c>
      <c r="BN38" s="4">
        <f>24000+393000+529000+1500000+376500+64000+648000+1251000+18050+15000+1110000+167960</f>
        <v>6096510</v>
      </c>
      <c r="BO38" s="4">
        <v>0</v>
      </c>
      <c r="BP38" s="4">
        <v>0</v>
      </c>
      <c r="BQ38" s="4">
        <f>2571238</f>
        <v>2571238</v>
      </c>
      <c r="BR38" s="4">
        <v>0</v>
      </c>
    </row>
    <row r="39" spans="1:70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1"/>
        <v>98343375</v>
      </c>
      <c r="I39" s="4">
        <f t="shared" si="12"/>
        <v>3192631</v>
      </c>
      <c r="J39" s="4">
        <f t="shared" si="22"/>
        <v>46432513</v>
      </c>
      <c r="K39" s="4">
        <f t="shared" si="2"/>
        <v>99536006</v>
      </c>
      <c r="L39" s="4">
        <f t="shared" si="3"/>
        <v>97556006</v>
      </c>
      <c r="M39" s="4">
        <f t="shared" si="13"/>
        <v>1800000</v>
      </c>
      <c r="N39" s="4">
        <f t="shared" si="4"/>
        <v>98343375</v>
      </c>
      <c r="O39" s="4">
        <f t="shared" si="14"/>
        <v>96301329</v>
      </c>
      <c r="P39" s="4">
        <f t="shared" si="5"/>
        <v>1862046</v>
      </c>
      <c r="Q39" s="4">
        <f t="shared" si="6"/>
        <v>1192631</v>
      </c>
      <c r="R39" s="4">
        <f t="shared" si="7"/>
        <v>2000000</v>
      </c>
      <c r="S39" s="4">
        <f t="shared" si="8"/>
        <v>0</v>
      </c>
      <c r="T39" s="4">
        <f t="shared" si="23"/>
        <v>100313568</v>
      </c>
      <c r="U39" s="4">
        <f t="shared" si="9"/>
        <v>89848002</v>
      </c>
      <c r="V39" s="4">
        <f t="shared" si="16"/>
        <v>10465566</v>
      </c>
      <c r="W39" s="4">
        <f t="shared" si="17"/>
        <v>35163350</v>
      </c>
      <c r="X39" s="4">
        <f t="shared" si="18"/>
        <v>94313568</v>
      </c>
      <c r="Y39" s="4">
        <f t="shared" si="10"/>
        <v>89848002</v>
      </c>
      <c r="Z39" s="4">
        <f t="shared" si="19"/>
        <v>4465566</v>
      </c>
      <c r="AA39" s="4">
        <v>0</v>
      </c>
      <c r="AB39" s="4">
        <f>46656995+1769130+10200158+14213155+19674130</f>
        <v>92513568</v>
      </c>
      <c r="AC39" s="4">
        <f>2500000+1500000+2000000</f>
        <v>6000000</v>
      </c>
      <c r="AD39" s="4">
        <v>0</v>
      </c>
      <c r="AE39" s="4">
        <v>0</v>
      </c>
      <c r="AF39" s="4">
        <f>5000000-36000000-30000000-3000000-1800000-1400000-2000000-4000000-6000000-15000000+36000000+30000000+3000000+1800000+1400000+2000000+4000000+6000000+15000000-300000-300000-5000000+300000*2</f>
        <v>0</v>
      </c>
      <c r="AG39" s="4">
        <f>1800000</f>
        <v>1800000</v>
      </c>
      <c r="AH39" s="4">
        <f>180000</f>
        <v>180000</v>
      </c>
      <c r="AI39" s="4">
        <f>165000+110000</f>
        <v>275000</v>
      </c>
      <c r="AJ39" s="4">
        <v>0</v>
      </c>
      <c r="AK39" s="4">
        <v>0</v>
      </c>
      <c r="AL39" s="4">
        <f>1650000+1100000+1320000+720000+600000+550000+550000+550000+1705000+3520000</f>
        <v>12265000</v>
      </c>
      <c r="AM39" s="4">
        <f>2475000+1284260+46622460+4199090+2400000+770000+272250</f>
        <v>58023060</v>
      </c>
      <c r="AN39" s="4">
        <v>0</v>
      </c>
      <c r="AO39" s="4">
        <f>6549950</f>
        <v>6549950</v>
      </c>
      <c r="AP39" s="4">
        <f>1080890+12000</f>
        <v>1092890</v>
      </c>
      <c r="AQ39" s="4">
        <f>13900+20500+4940+3678950+2120910</f>
        <v>5839200</v>
      </c>
      <c r="AR39" s="4">
        <v>0</v>
      </c>
      <c r="AS39" s="4">
        <v>0</v>
      </c>
      <c r="AT39" s="4">
        <v>0</v>
      </c>
      <c r="AU39" s="4">
        <f t="shared" ref="AU39:AU44" si="32">550000+33000</f>
        <v>583000</v>
      </c>
      <c r="AV39" s="4">
        <v>0</v>
      </c>
      <c r="AW39" s="4">
        <f>2773640</f>
        <v>2773640</v>
      </c>
      <c r="AX39" s="4">
        <f>114904+326738</f>
        <v>441642</v>
      </c>
      <c r="AY39" s="4">
        <f>35210+63800+39200+385000*3+250750+160600+11640+108420</f>
        <v>1824620</v>
      </c>
      <c r="AZ39" s="4">
        <f t="shared" si="31"/>
        <v>1222438</v>
      </c>
      <c r="BA39" s="4">
        <f t="shared" si="11"/>
        <v>8495373</v>
      </c>
      <c r="BB39" s="4">
        <f t="shared" si="21"/>
        <v>11269163</v>
      </c>
      <c r="BC39" s="4">
        <f>-2000000-2000000</f>
        <v>-4000000</v>
      </c>
      <c r="BD39" s="4">
        <f>4855501+366937</f>
        <v>5222438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6">
        <v>0</v>
      </c>
      <c r="BK39" s="4">
        <f>160767</f>
        <v>160767</v>
      </c>
      <c r="BL39" s="4">
        <v>0</v>
      </c>
      <c r="BM39" s="4">
        <v>0</v>
      </c>
      <c r="BN39" s="4">
        <f>492000+125000+1813500+175500+1000000+648000+64000+40500+555000+730500+292500+225000</f>
        <v>6161500</v>
      </c>
      <c r="BO39" s="4">
        <v>0</v>
      </c>
      <c r="BP39" s="4">
        <v>0</v>
      </c>
      <c r="BQ39" s="4">
        <f>2135680</f>
        <v>2135680</v>
      </c>
      <c r="BR39" s="4">
        <f>28070+9356</f>
        <v>37426</v>
      </c>
    </row>
    <row r="40" spans="1:70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68910888</v>
      </c>
      <c r="H40" s="4">
        <f t="shared" si="1"/>
        <v>97790381</v>
      </c>
      <c r="I40" s="4">
        <f t="shared" si="12"/>
        <v>-28879493</v>
      </c>
      <c r="J40" s="4">
        <f t="shared" si="22"/>
        <v>17553020</v>
      </c>
      <c r="K40" s="4">
        <f t="shared" si="2"/>
        <v>72510888</v>
      </c>
      <c r="L40" s="4">
        <f t="shared" si="3"/>
        <v>65419266</v>
      </c>
      <c r="M40" s="4">
        <f t="shared" si="13"/>
        <v>0</v>
      </c>
      <c r="N40" s="4">
        <f t="shared" si="4"/>
        <v>97790381</v>
      </c>
      <c r="O40" s="4">
        <f t="shared" si="14"/>
        <v>95149089</v>
      </c>
      <c r="P40" s="4">
        <f t="shared" si="5"/>
        <v>549670</v>
      </c>
      <c r="Q40" s="4">
        <f t="shared" si="6"/>
        <v>-25279493</v>
      </c>
      <c r="R40" s="4">
        <f t="shared" si="7"/>
        <v>1400000</v>
      </c>
      <c r="S40" s="4">
        <f t="shared" si="8"/>
        <v>0</v>
      </c>
      <c r="T40" s="4">
        <f t="shared" si="23"/>
        <v>67681315</v>
      </c>
      <c r="U40" s="4">
        <f t="shared" si="9"/>
        <v>89629975</v>
      </c>
      <c r="V40" s="4">
        <f t="shared" si="16"/>
        <v>-21948660</v>
      </c>
      <c r="W40" s="4">
        <f t="shared" si="17"/>
        <v>13214690</v>
      </c>
      <c r="X40" s="4">
        <f t="shared" si="18"/>
        <v>60681315</v>
      </c>
      <c r="Y40" s="4">
        <f t="shared" si="10"/>
        <v>89629975</v>
      </c>
      <c r="Z40" s="4">
        <f t="shared" si="19"/>
        <v>-28948660</v>
      </c>
      <c r="AA40" s="4">
        <v>0</v>
      </c>
      <c r="AB40" s="4">
        <f>20804916+14744017+25132382</f>
        <v>60681315</v>
      </c>
      <c r="AC40" s="4">
        <f>2000000</f>
        <v>2000000</v>
      </c>
      <c r="AD40" s="4">
        <f>5000000</f>
        <v>5000000</v>
      </c>
      <c r="AE40" s="4">
        <v>0</v>
      </c>
      <c r="AF40" s="4">
        <f>-43000000-2600000-5000000-5000000-10000000-1000000-5000000-9000000+43000000+2600000+5000000+5000000+10000000+1000000+5000000+9000000</f>
        <v>0</v>
      </c>
      <c r="AG40" s="4">
        <v>0</v>
      </c>
      <c r="AH40" s="4">
        <f>63000+35000+322000+800000+206440+94000+99920+208000</f>
        <v>1828360</v>
      </c>
      <c r="AI40" s="4">
        <f>165000+110000</f>
        <v>275000</v>
      </c>
      <c r="AJ40" s="4">
        <v>0</v>
      </c>
      <c r="AK40" s="4">
        <v>0</v>
      </c>
      <c r="AL40" s="4">
        <f>410000+1100000+1100000+3300000+1705000+1320000+720000+600000+1100000+3520000</f>
        <v>14875000</v>
      </c>
      <c r="AM40" s="4">
        <f>52877037+1133000+869399+1424887</f>
        <v>56304323</v>
      </c>
      <c r="AN40" s="4">
        <v>0</v>
      </c>
      <c r="AO40" s="4">
        <f>6345240</f>
        <v>6345240</v>
      </c>
      <c r="AP40" s="4">
        <f>1105010+16000+282250</f>
        <v>1403260</v>
      </c>
      <c r="AQ40" s="4">
        <f>87240+41000+1920+2286720+8660+87440</f>
        <v>2512980</v>
      </c>
      <c r="AR40" s="4">
        <f>-63000</f>
        <v>-63000</v>
      </c>
      <c r="AS40" s="4">
        <v>0</v>
      </c>
      <c r="AT40" s="4">
        <v>0</v>
      </c>
      <c r="AU40" s="4">
        <f t="shared" si="32"/>
        <v>583000</v>
      </c>
      <c r="AV40" s="4">
        <v>0</v>
      </c>
      <c r="AW40" s="4">
        <f>2513722+2046884</f>
        <v>4560606</v>
      </c>
      <c r="AX40" s="4">
        <f>117698+274838</f>
        <v>392536</v>
      </c>
      <c r="AY40" s="4">
        <f>35210+63800+250750+160600+18100+84210</f>
        <v>612670</v>
      </c>
      <c r="AZ40" s="4">
        <f t="shared" si="31"/>
        <v>1229573</v>
      </c>
      <c r="BA40" s="4">
        <f t="shared" si="11"/>
        <v>8160406</v>
      </c>
      <c r="BB40" s="4">
        <f t="shared" si="21"/>
        <v>4338330</v>
      </c>
      <c r="BC40" s="4">
        <f>2000000-4000000+1000000+400000</f>
        <v>-600000</v>
      </c>
      <c r="BD40" s="4">
        <f>635300+914569+603123+2087791+94000+99920+4151870-1757000</f>
        <v>6829573</v>
      </c>
      <c r="BE40" s="4">
        <v>0</v>
      </c>
      <c r="BF40" s="4">
        <f>-5000000</f>
        <v>-5000000</v>
      </c>
      <c r="BG40" s="4">
        <v>0</v>
      </c>
      <c r="BH40" s="4">
        <v>0</v>
      </c>
      <c r="BI40" s="4">
        <f>11000+73704+150000+28558</f>
        <v>263262</v>
      </c>
      <c r="BJ40" s="6">
        <v>0</v>
      </c>
      <c r="BK40" s="4">
        <f>166126</f>
        <v>166126</v>
      </c>
      <c r="BL40" s="4">
        <v>0</v>
      </c>
      <c r="BM40" s="4">
        <f>55000</f>
        <v>55000</v>
      </c>
      <c r="BN40" s="5">
        <f>54150+18050+436000+1669150+64000+64000+551000+338000+816000+200900+555000</f>
        <v>4766250</v>
      </c>
      <c r="BO40" s="4">
        <v>0</v>
      </c>
      <c r="BP40" s="4">
        <v>0</v>
      </c>
      <c r="BQ40" s="4">
        <f>1085840+1823928</f>
        <v>2909768</v>
      </c>
      <c r="BR40" s="4">
        <v>0</v>
      </c>
    </row>
    <row r="41" spans="1:70">
      <c r="A41">
        <v>2025</v>
      </c>
      <c r="B41">
        <v>9</v>
      </c>
      <c r="C41">
        <v>34</v>
      </c>
      <c r="D41">
        <v>63</v>
      </c>
      <c r="E41">
        <v>28</v>
      </c>
      <c r="F41">
        <v>53</v>
      </c>
      <c r="G41" s="4">
        <f t="shared" si="0"/>
        <v>101541866</v>
      </c>
      <c r="H41" s="4">
        <f t="shared" si="1"/>
        <v>93578361</v>
      </c>
      <c r="I41" s="4">
        <f t="shared" ref="I41" si="33">G41-H41</f>
        <v>7963505</v>
      </c>
      <c r="J41" s="4">
        <f t="shared" ref="J41" si="34">J40+G41-H41</f>
        <v>25516525</v>
      </c>
      <c r="K41" s="4">
        <f t="shared" si="2"/>
        <v>103541866</v>
      </c>
      <c r="L41" s="4">
        <f t="shared" si="3"/>
        <v>97231927</v>
      </c>
      <c r="M41" s="4">
        <f t="shared" si="13"/>
        <v>1341739</v>
      </c>
      <c r="N41" s="4">
        <f t="shared" si="4"/>
        <v>93578361</v>
      </c>
      <c r="O41" s="4">
        <f t="shared" si="14"/>
        <v>89390876</v>
      </c>
      <c r="P41" s="4">
        <f t="shared" si="5"/>
        <v>1219285</v>
      </c>
      <c r="Q41" s="4">
        <f t="shared" si="6"/>
        <v>9963505</v>
      </c>
      <c r="R41" s="4">
        <f t="shared" si="7"/>
        <v>0</v>
      </c>
      <c r="S41" s="4">
        <f t="shared" si="8"/>
        <v>0</v>
      </c>
      <c r="T41" s="4">
        <f t="shared" ref="T41" si="35">SUM(AA41:AG41)</f>
        <v>92177532</v>
      </c>
      <c r="U41" s="4">
        <f t="shared" si="9"/>
        <v>90241875</v>
      </c>
      <c r="V41" s="4">
        <f t="shared" ref="V41" si="36">T41-U41</f>
        <v>1935657</v>
      </c>
      <c r="W41" s="4">
        <f t="shared" ref="W41" si="37">W40+T41-U41</f>
        <v>15150347</v>
      </c>
      <c r="X41" s="4">
        <f t="shared" si="18"/>
        <v>90177532</v>
      </c>
      <c r="Y41" s="4">
        <f t="shared" si="10"/>
        <v>90241875</v>
      </c>
      <c r="Z41" s="4">
        <f t="shared" ref="Z41" si="38">X41-Y41</f>
        <v>-64343</v>
      </c>
      <c r="AA41" s="4">
        <v>0</v>
      </c>
      <c r="AB41" s="4">
        <f>92177532-2000000-140000-1200000</f>
        <v>88837532</v>
      </c>
      <c r="AC41" s="4">
        <v>0</v>
      </c>
      <c r="AD41" s="4">
        <f>2000000</f>
        <v>2000000</v>
      </c>
      <c r="AE41" s="4">
        <v>0</v>
      </c>
      <c r="AF41" s="4">
        <f>-10000000-14000000-50000000-5000000-1800000-2000000-5000000+50000000+5000000+1800000+2000000+5000000+14000000+10000000-300000+300000</f>
        <v>0</v>
      </c>
      <c r="AG41" s="4">
        <f>140000+1200000</f>
        <v>1340000</v>
      </c>
      <c r="AH41" s="4">
        <f>205920+175000+2253780</f>
        <v>2634700</v>
      </c>
      <c r="AI41" s="4">
        <f>165000+110000</f>
        <v>275000</v>
      </c>
      <c r="AJ41" s="4">
        <v>0</v>
      </c>
      <c r="AK41" s="4">
        <v>0</v>
      </c>
      <c r="AL41" s="4">
        <f>1705000+600000+720000+1320000+3520000+550000</f>
        <v>8415000</v>
      </c>
      <c r="AM41" s="4">
        <f>363000+660000+770000+1696450+5275440+1257100+290100+274511+451615+580200+1257100+580200+1120245+2417500+2610900+1015350+2417500+275600+1760680+2127400+2224100+1888680+2628850+1249009+2617330+2251650+3156310+1992070+2083590+2693760+2522340+261090+867410</f>
        <v>53637080</v>
      </c>
      <c r="AN41" s="4">
        <v>2175755</v>
      </c>
      <c r="AO41" s="4">
        <f>6885010+6192340</f>
        <v>13077350</v>
      </c>
      <c r="AP41" s="4">
        <f>104260+688040+355120</f>
        <v>1147420</v>
      </c>
      <c r="AQ41" s="4">
        <f>131950+21750*6+32200+35050+26500*2+20500+2369090+7580+900</f>
        <v>2780770</v>
      </c>
      <c r="AR41" s="4">
        <f>1807000</f>
        <v>1807000</v>
      </c>
      <c r="AS41" s="4">
        <v>0</v>
      </c>
      <c r="AT41" s="4">
        <v>0</v>
      </c>
      <c r="AU41" s="4">
        <f t="shared" si="32"/>
        <v>583000</v>
      </c>
      <c r="AV41" s="4">
        <f>50031+24928+16000</f>
        <v>90959</v>
      </c>
      <c r="AW41" s="4">
        <v>2792326</v>
      </c>
      <c r="AX41" s="4">
        <f>114147+274838</f>
        <v>388985</v>
      </c>
      <c r="AY41" s="4">
        <f>28000+5600+41800+22000+35210+122650+20670+160600</f>
        <v>436530</v>
      </c>
      <c r="AZ41" s="4">
        <f t="shared" ref="AZ41" si="39">SUM(BC41:BH41)</f>
        <v>9364334</v>
      </c>
      <c r="BA41" s="4">
        <f t="shared" si="11"/>
        <v>3336486</v>
      </c>
      <c r="BB41" s="4">
        <f t="shared" ref="BB41" si="40">BB40+AZ41-BA41</f>
        <v>10366178</v>
      </c>
      <c r="BC41" s="4">
        <v>0</v>
      </c>
      <c r="BD41" s="4">
        <f>11901955-3500000-1+422276+47808+119520+159062+336232+174002+1417750+283991</f>
        <v>11362595</v>
      </c>
      <c r="BE41" s="4">
        <v>0</v>
      </c>
      <c r="BF41" s="4">
        <f>-2000000</f>
        <v>-2000000</v>
      </c>
      <c r="BG41" s="4">
        <v>0</v>
      </c>
      <c r="BH41" s="4">
        <f>1+1738</f>
        <v>1739</v>
      </c>
      <c r="BI41" s="4">
        <f>159062+174438</f>
        <v>333500</v>
      </c>
      <c r="BJ41" s="6">
        <v>0</v>
      </c>
      <c r="BK41" s="4">
        <f>166126</f>
        <v>166126</v>
      </c>
      <c r="BL41" s="4">
        <v>0</v>
      </c>
      <c r="BM41" s="4">
        <v>0</v>
      </c>
      <c r="BN41" s="6">
        <f>57950+53200+703000+64000+27000+2174170+36000+291750+511000+20000+607000</f>
        <v>4545070</v>
      </c>
      <c r="BO41" s="4">
        <v>-3500000</v>
      </c>
      <c r="BP41" s="4">
        <f>10000</f>
        <v>10000</v>
      </c>
      <c r="BQ41" s="4">
        <f>1481790</f>
        <v>1481790</v>
      </c>
      <c r="BR41" s="4">
        <f>300000</f>
        <v>300000</v>
      </c>
    </row>
    <row r="42" spans="1:70">
      <c r="A42">
        <v>2025</v>
      </c>
      <c r="B42">
        <v>10</v>
      </c>
      <c r="C42">
        <v>35</v>
      </c>
      <c r="D42">
        <v>63</v>
      </c>
      <c r="E42">
        <v>28</v>
      </c>
      <c r="F42">
        <v>56</v>
      </c>
      <c r="G42" s="4">
        <f t="shared" ref="G42" si="41">T42+AZ42</f>
        <v>101473359</v>
      </c>
      <c r="H42" s="4">
        <f t="shared" ref="H42" si="42">U42+BA42</f>
        <v>85530857</v>
      </c>
      <c r="I42" s="4">
        <f t="shared" ref="I42" si="43">G42-H42</f>
        <v>15942502</v>
      </c>
      <c r="J42" s="4">
        <f t="shared" ref="J42" si="44">J41+G42-H42</f>
        <v>41459027</v>
      </c>
      <c r="K42" s="4">
        <f t="shared" ref="K42" si="45">SUM(AB42,AD42,AF42,AG42,BD42,BG42,BH42)</f>
        <v>103543359</v>
      </c>
      <c r="L42" s="4">
        <f t="shared" ref="L42" si="46">SUM(AB42-AH42+BD42-BI42)</f>
        <v>88610359</v>
      </c>
      <c r="M42" s="4">
        <f t="shared" ref="M42" si="47">SUM(AD42,AG42,BF42,BH42)</f>
        <v>3763000</v>
      </c>
      <c r="N42" s="4">
        <f t="shared" ref="N42" si="48">SUM(AH42:AY42)+SUM(BI42:BR42)</f>
        <v>85530857</v>
      </c>
      <c r="O42" s="4">
        <f t="shared" ref="O42" si="49">SUM(AI42,AL42,AM42,AO42:AQ42,AU42:AX42,BK42:BN42,BP42:BQ42)</f>
        <v>81030144</v>
      </c>
      <c r="P42" s="4">
        <f t="shared" ref="P42" si="50">SUM(AJ42:AK42,AN42,AY42+BJ42,BR42,BO42,AR42:AT42)</f>
        <v>4500713</v>
      </c>
      <c r="Q42" s="4">
        <f t="shared" ref="Q42" si="51">K42-N42</f>
        <v>18012502</v>
      </c>
      <c r="R42" s="4">
        <f t="shared" ref="R42" si="52">AC42+BC42</f>
        <v>9100000</v>
      </c>
      <c r="S42" s="4">
        <f t="shared" ref="S42" si="53">AE42+BE42</f>
        <v>0</v>
      </c>
      <c r="T42" s="4">
        <f t="shared" ref="T42" si="54">SUM(AA42:AG42)</f>
        <v>103780533</v>
      </c>
      <c r="U42" s="4">
        <f t="shared" ref="U42" si="55">SUM(AH42:AY42)</f>
        <v>79188608</v>
      </c>
      <c r="V42" s="4">
        <f t="shared" ref="V42" si="56">T42-U42</f>
        <v>24591925</v>
      </c>
      <c r="W42" s="4">
        <f t="shared" ref="W42" si="57">W41+T42-U42</f>
        <v>39742272</v>
      </c>
      <c r="X42" s="4">
        <f t="shared" ref="X42" si="58">AB42+AF42+AG42</f>
        <v>84510533</v>
      </c>
      <c r="Y42" s="4">
        <f t="shared" ref="Y42" si="59">SUM(AH42:AY42)</f>
        <v>79188608</v>
      </c>
      <c r="Z42" s="4">
        <f t="shared" ref="Z42" si="60">X42-Y42</f>
        <v>5321925</v>
      </c>
      <c r="AA42" s="4">
        <v>0</v>
      </c>
      <c r="AB42" s="4">
        <v>80747533</v>
      </c>
      <c r="AC42" s="4">
        <f>11000000+100000-3000000</f>
        <v>8100000</v>
      </c>
      <c r="AD42" s="4">
        <f>8000000+500000+2000000+600000+70000</f>
        <v>11170000</v>
      </c>
      <c r="AE42" s="4">
        <v>0</v>
      </c>
      <c r="AF42" s="4">
        <f>-120000-250000+120000+250000</f>
        <v>0</v>
      </c>
      <c r="AG42" s="4">
        <f>3600000+107000+56000</f>
        <v>3763000</v>
      </c>
      <c r="AH42" s="4">
        <v>0</v>
      </c>
      <c r="AI42" s="4">
        <f>165000+110000</f>
        <v>275000</v>
      </c>
      <c r="AJ42" s="4">
        <v>0</v>
      </c>
      <c r="AK42" s="4">
        <v>0</v>
      </c>
      <c r="AL42" s="4">
        <f>370000*2+1320000+720000+600000+1705000+3520000</f>
        <v>8605000</v>
      </c>
      <c r="AM42" s="4">
        <f>22912691+27947810+667230+550000+98967+90000+90000+363000</f>
        <v>52719698</v>
      </c>
      <c r="AN42" s="4">
        <v>3628937</v>
      </c>
      <c r="AO42" s="4">
        <v>6299370</v>
      </c>
      <c r="AP42" s="4">
        <v>981390</v>
      </c>
      <c r="AQ42" s="4">
        <f>40000*2+900+2309390+175060</f>
        <v>2565350</v>
      </c>
      <c r="AR42" s="4">
        <v>0</v>
      </c>
      <c r="AS42" s="4">
        <v>192000</v>
      </c>
      <c r="AT42" s="4">
        <v>0</v>
      </c>
      <c r="AU42" s="4">
        <f t="shared" si="32"/>
        <v>583000</v>
      </c>
      <c r="AV42" s="4">
        <v>0</v>
      </c>
      <c r="AW42" s="4">
        <v>2325293</v>
      </c>
      <c r="AX42" s="4">
        <f>110465+26597+239648</f>
        <v>376710</v>
      </c>
      <c r="AY42" s="4">
        <f>35210+3700+4400+22000+41800+129679+10000+121071+160600+108400</f>
        <v>636860</v>
      </c>
      <c r="AZ42" s="4">
        <f t="shared" ref="AZ42" si="61">SUM(BC42:BH42)</f>
        <v>-2307174</v>
      </c>
      <c r="BA42" s="4">
        <f t="shared" ref="BA42" si="62">SUM(BI42:BR42)</f>
        <v>6342249</v>
      </c>
      <c r="BB42" s="4">
        <f t="shared" ref="BB42" si="63">BB41+AZ42-BA42</f>
        <v>1716755</v>
      </c>
      <c r="BC42" s="4">
        <f>100000-100000+1000000</f>
        <v>1000000</v>
      </c>
      <c r="BD42" s="4">
        <f>7250194-50000+174948+134620+35856+65398+251810</f>
        <v>7862826</v>
      </c>
      <c r="BE42" s="4">
        <v>0</v>
      </c>
      <c r="BF42" s="4">
        <f>-8000000-2000000-600000-70000-500000</f>
        <v>-11170000</v>
      </c>
      <c r="BG42" s="4">
        <v>0</v>
      </c>
      <c r="BH42" s="4">
        <v>0</v>
      </c>
      <c r="BI42" s="4">
        <v>0</v>
      </c>
      <c r="BJ42" s="6">
        <v>0</v>
      </c>
      <c r="BK42" s="4">
        <v>160273</v>
      </c>
      <c r="BL42" s="4">
        <v>0</v>
      </c>
      <c r="BM42" s="4">
        <v>0</v>
      </c>
      <c r="BN42" s="6">
        <f>-200000+442000+67450+338000+531000+260000+420000+923000+1672000+928830</f>
        <v>5382280</v>
      </c>
      <c r="BO42" s="4">
        <f>-50000+50000+42916</f>
        <v>42916</v>
      </c>
      <c r="BP42" s="4">
        <v>0</v>
      </c>
      <c r="BQ42" s="4">
        <f>192452+564328</f>
        <v>756780</v>
      </c>
      <c r="BR42" s="4">
        <v>0</v>
      </c>
    </row>
    <row r="43" spans="1:70">
      <c r="A43">
        <v>2025</v>
      </c>
      <c r="B43">
        <v>11</v>
      </c>
      <c r="C43">
        <v>35</v>
      </c>
      <c r="D43">
        <v>63</v>
      </c>
      <c r="E43">
        <v>29</v>
      </c>
      <c r="F43">
        <v>53</v>
      </c>
      <c r="G43" s="4">
        <f t="shared" ref="G43" si="64">T43+AZ43</f>
        <v>84665214</v>
      </c>
      <c r="H43" s="4">
        <f t="shared" ref="H43" si="65">U43+BA43</f>
        <v>92346889</v>
      </c>
      <c r="I43" s="4">
        <f t="shared" ref="I43" si="66">G43-H43</f>
        <v>-7681675</v>
      </c>
      <c r="J43" s="4">
        <f t="shared" ref="J43" si="67">J42+G43-H43</f>
        <v>33777352</v>
      </c>
      <c r="K43" s="4">
        <f t="shared" ref="K43" si="68">SUM(AB43,AD43,AF43,AG43,BD43,BG43,BH43)</f>
        <v>84731214</v>
      </c>
      <c r="L43" s="4">
        <f t="shared" ref="L43" si="69">SUM(AB43-AH43+BD43-BI43)</f>
        <v>77611214</v>
      </c>
      <c r="M43" s="4">
        <f t="shared" ref="M43" si="70">SUM(AD43,AG43,BF43,BH43)</f>
        <v>1857000</v>
      </c>
      <c r="N43" s="4">
        <f t="shared" ref="N43" si="71">SUM(AH43:AY43)+SUM(BI43:BR43)</f>
        <v>92346889</v>
      </c>
      <c r="O43" s="4">
        <f t="shared" ref="O43" si="72">SUM(AI43,AL43,AM43,AO43:AQ43,AU43:AX43,BK43:BN43,BP43:BQ43)</f>
        <v>81606079</v>
      </c>
      <c r="P43" s="4">
        <f t="shared" ref="P43" si="73">SUM(AJ43:AK43,AN43,AY43+BJ43,BR43,BO43,AR43:AT43)</f>
        <v>5477810</v>
      </c>
      <c r="Q43" s="4">
        <f t="shared" ref="Q43" si="74">K43-N43</f>
        <v>-7615675</v>
      </c>
      <c r="R43" s="4">
        <f t="shared" ref="R43" si="75">AC43+BC43</f>
        <v>-66000</v>
      </c>
      <c r="S43" s="4">
        <f t="shared" ref="S43" si="76">AE43+BE43</f>
        <v>0</v>
      </c>
      <c r="T43" s="4">
        <f t="shared" ref="T43" si="77">SUM(AA43:AG43)</f>
        <v>74791056</v>
      </c>
      <c r="U43" s="4">
        <f t="shared" ref="U43" si="78">SUM(AH43:AY43)</f>
        <v>83557270</v>
      </c>
      <c r="V43" s="4">
        <f t="shared" ref="V43" si="79">T43-U43</f>
        <v>-8766214</v>
      </c>
      <c r="W43" s="4">
        <f t="shared" ref="W43" si="80">W42+T43-U43</f>
        <v>30976058</v>
      </c>
      <c r="X43" s="4">
        <f t="shared" ref="X43" si="81">AB43+AF43+AG43</f>
        <v>77791056</v>
      </c>
      <c r="Y43" s="4">
        <f t="shared" ref="Y43" si="82">SUM(AH43:AY43)</f>
        <v>83557270</v>
      </c>
      <c r="Z43" s="4">
        <f t="shared" ref="Z43" si="83">X43-Y43</f>
        <v>-5766214</v>
      </c>
      <c r="AA43" s="4">
        <v>0</v>
      </c>
      <c r="AB43" s="4">
        <f>10444825+8250272+6771215+50467744</f>
        <v>75934056</v>
      </c>
      <c r="AC43" s="4">
        <f>-3000000</f>
        <v>-3000000</v>
      </c>
      <c r="AD43" s="4">
        <v>0</v>
      </c>
      <c r="AE43" s="4">
        <v>0</v>
      </c>
      <c r="AF43" s="4">
        <f>-64000000-10000000-200000-300000+64000000+10000000+200000+300000</f>
        <v>0</v>
      </c>
      <c r="AG43" s="4">
        <f>1800000+11000+46000</f>
        <v>1857000</v>
      </c>
      <c r="AH43" s="4">
        <f>800000+400000+800000+400000+400000+400000+400000+400000+800000</f>
        <v>4800000</v>
      </c>
      <c r="AI43" s="4">
        <f>165000+110000</f>
        <v>275000</v>
      </c>
      <c r="AJ43" s="4">
        <v>0</v>
      </c>
      <c r="AK43" s="4">
        <v>0</v>
      </c>
      <c r="AL43" s="4">
        <f>5520500+2640000+2200000+1705000+2750000+4090500</f>
        <v>18906000</v>
      </c>
      <c r="AM43" s="4">
        <f>90000*2+363000+770000+43353205+3548090+1977219+290100</f>
        <v>50481614</v>
      </c>
      <c r="AN43" s="4">
        <v>0</v>
      </c>
      <c r="AO43" s="4">
        <v>0</v>
      </c>
      <c r="AP43" s="4">
        <f>1298150</f>
        <v>1298150</v>
      </c>
      <c r="AQ43" s="4">
        <f>900+8720+1040</f>
        <v>10660</v>
      </c>
      <c r="AR43" s="4">
        <f>44000</f>
        <v>44000</v>
      </c>
      <c r="AS43" s="4">
        <v>0</v>
      </c>
      <c r="AT43" s="4">
        <v>0</v>
      </c>
      <c r="AU43" s="4">
        <f t="shared" si="32"/>
        <v>583000</v>
      </c>
      <c r="AV43" s="4">
        <v>0</v>
      </c>
      <c r="AW43" s="4">
        <f>4516128</f>
        <v>4516128</v>
      </c>
      <c r="AX43" s="4">
        <f>114722+8920+267616</f>
        <v>391258</v>
      </c>
      <c r="AY43" s="4">
        <f>35210+22000+41800+22000+1155000+463100+14000+250750+160600+14340+72660</f>
        <v>2251460</v>
      </c>
      <c r="AZ43" s="4">
        <f t="shared" ref="AZ43" si="84">SUM(BC43:BH43)</f>
        <v>9874158</v>
      </c>
      <c r="BA43" s="4">
        <f t="shared" ref="BA43" si="85">SUM(BI43:BR43)</f>
        <v>8789619</v>
      </c>
      <c r="BB43" s="4">
        <f t="shared" ref="BB43" si="86">BB42+AZ43-BA43</f>
        <v>2801294</v>
      </c>
      <c r="BC43" s="4">
        <f>2934000</f>
        <v>2934000</v>
      </c>
      <c r="BD43" s="4">
        <f>2136260+4246923+388252+168723</f>
        <v>6940158</v>
      </c>
      <c r="BE43" s="4">
        <v>0</v>
      </c>
      <c r="BF43" s="4">
        <v>0</v>
      </c>
      <c r="BG43" s="4">
        <f>-1000000+1000000</f>
        <v>0</v>
      </c>
      <c r="BH43" s="4">
        <v>0</v>
      </c>
      <c r="BI43" s="4">
        <f>400000+63000</f>
        <v>463000</v>
      </c>
      <c r="BJ43" s="6">
        <v>0</v>
      </c>
      <c r="BK43" s="4">
        <f>165616</f>
        <v>165616</v>
      </c>
      <c r="BL43" s="4">
        <v>0</v>
      </c>
      <c r="BM43" s="4">
        <v>0</v>
      </c>
      <c r="BN43" s="6">
        <f>292000+40000+71440+49400+9000+689000+571000+144000+1529840+260000+200900</f>
        <v>3856580</v>
      </c>
      <c r="BO43" s="4">
        <v>0</v>
      </c>
      <c r="BP43" s="4">
        <v>0</v>
      </c>
      <c r="BQ43" s="4">
        <f>896832+225241</f>
        <v>1122073</v>
      </c>
      <c r="BR43" s="4">
        <f>2934000+48350+200000</f>
        <v>3182350</v>
      </c>
    </row>
    <row r="44" spans="1:70">
      <c r="A44">
        <v>2025</v>
      </c>
      <c r="B44">
        <v>12</v>
      </c>
      <c r="C44">
        <v>35</v>
      </c>
      <c r="D44">
        <v>62</v>
      </c>
      <c r="E44">
        <v>25</v>
      </c>
      <c r="F44">
        <v>51</v>
      </c>
      <c r="G44" s="4">
        <f t="shared" ref="G44" si="87">T44+AZ44</f>
        <v>93921695</v>
      </c>
      <c r="H44" s="4">
        <f t="shared" ref="H44" si="88">U44+BA44</f>
        <v>92571714</v>
      </c>
      <c r="I44" s="4">
        <f t="shared" ref="I44" si="89">G44-H44</f>
        <v>1349981</v>
      </c>
      <c r="J44" s="4">
        <f t="shared" ref="J44" si="90">J43+G44-H44</f>
        <v>35127333</v>
      </c>
      <c r="K44" s="4">
        <f t="shared" ref="K44" si="91">SUM(AB44,AD44,AF44,AG44,BD44,BG44,BH44)</f>
        <v>93921695</v>
      </c>
      <c r="L44" s="4">
        <f t="shared" ref="L44" si="92">SUM(AB44-AH44+BD44-BI44)</f>
        <v>86235783</v>
      </c>
      <c r="M44" s="4">
        <f t="shared" ref="M44" si="93">SUM(AD44,AG44,BF44,BH44)</f>
        <v>3311712</v>
      </c>
      <c r="N44" s="4">
        <f t="shared" ref="N44" si="94">SUM(AH44:AY44)+SUM(BI44:BR44)</f>
        <v>92571714</v>
      </c>
      <c r="O44" s="4">
        <f t="shared" ref="O44" si="95">SUM(AI44,AL44,AM44,AO44:AQ44,AU44:AX44,BK44:BN44,BP44:BQ44)</f>
        <v>81959044</v>
      </c>
      <c r="P44" s="4">
        <f t="shared" ref="P44" si="96">SUM(AJ44:AK44,AN44,AY44+BJ44,BR44,BO44,AR44:AT44)</f>
        <v>6238470</v>
      </c>
      <c r="Q44" s="4">
        <f t="shared" ref="Q44" si="97">K44-N44</f>
        <v>1349981</v>
      </c>
      <c r="R44" s="4">
        <f t="shared" ref="R44" si="98">AC44+BC44</f>
        <v>0</v>
      </c>
      <c r="S44" s="4">
        <f t="shared" ref="S44" si="99">AE44+BE44</f>
        <v>0</v>
      </c>
      <c r="T44" s="4">
        <f t="shared" ref="T44" si="100">SUM(AA44:AG44)</f>
        <v>86406109</v>
      </c>
      <c r="U44" s="4">
        <f t="shared" ref="U44" si="101">SUM(AH44:AY44)</f>
        <v>87091201</v>
      </c>
      <c r="V44" s="4">
        <f t="shared" ref="V44" si="102">T44-U44</f>
        <v>-685092</v>
      </c>
      <c r="W44" s="4">
        <f t="shared" ref="W44" si="103">W43+T44-U44</f>
        <v>30290966</v>
      </c>
      <c r="X44" s="4">
        <f t="shared" ref="X44" si="104">AB44+AF44+AG44</f>
        <v>86406109</v>
      </c>
      <c r="Y44" s="4">
        <f t="shared" ref="Y44" si="105">SUM(AH44:AY44)</f>
        <v>87091201</v>
      </c>
      <c r="Z44" s="4">
        <f t="shared" ref="Z44" si="106">X44-Y44</f>
        <v>-685092</v>
      </c>
      <c r="AA44" s="4">
        <v>0</v>
      </c>
      <c r="AB44" s="4">
        <f>41926397+590135+3561650+37017924</f>
        <v>83096106</v>
      </c>
      <c r="AC44" s="4">
        <v>0</v>
      </c>
      <c r="AD44" s="4">
        <v>0</v>
      </c>
      <c r="AE44" s="4">
        <v>0</v>
      </c>
      <c r="AF44" s="4">
        <f>-30000000-30000000-2000000-1000000-2000000-2000000-6000000-1000000-3000000-300000-300000+30000000+30000000+2000000+1000000+2000000+2000000+6000000+4000000+300000+300000</f>
        <v>0</v>
      </c>
      <c r="AG44" s="4">
        <f>6408+1500000+1800000+3473+72+50</f>
        <v>3310003</v>
      </c>
      <c r="AH44" s="4">
        <f>56200+400000+800000+400000+168000+800000+400000+800000+129000+168000</f>
        <v>4121200</v>
      </c>
      <c r="AI44" s="4">
        <f>165000+270000+110000</f>
        <v>545000</v>
      </c>
      <c r="AJ44" s="4">
        <v>0</v>
      </c>
      <c r="AK44" s="4">
        <f>500000</f>
        <v>500000</v>
      </c>
      <c r="AL44" s="4">
        <f>550000+2640000+820000+1705000+5170000+1100000</f>
        <v>11985000</v>
      </c>
      <c r="AM44" s="4">
        <f>360000+363000+770000+41341818+3478590+936471+586647+1985593+185570+293323</f>
        <v>50301012</v>
      </c>
      <c r="AN44" s="4">
        <f>3900000</f>
        <v>3900000</v>
      </c>
      <c r="AO44" s="4">
        <f>4508570</f>
        <v>4508570</v>
      </c>
      <c r="AP44" s="4">
        <f>1241210</f>
        <v>1241210</v>
      </c>
      <c r="AQ44" s="4">
        <f>83360+1883990+75360+64890+6080+112900+1982240+74620</f>
        <v>4283440</v>
      </c>
      <c r="AR44" s="4">
        <v>0</v>
      </c>
      <c r="AS44" s="4">
        <v>0</v>
      </c>
      <c r="AT44" s="4">
        <v>0</v>
      </c>
      <c r="AU44" s="4">
        <f t="shared" si="32"/>
        <v>583000</v>
      </c>
      <c r="AV44" s="4">
        <v>0</v>
      </c>
      <c r="AW44" s="4">
        <f>2943752</f>
        <v>2943752</v>
      </c>
      <c r="AX44" s="4">
        <f>112931+267616</f>
        <v>380547</v>
      </c>
      <c r="AY44" s="4">
        <f>35210+22000+41800+250750+360000+130000+22000+385000+251710+300000</f>
        <v>1798470</v>
      </c>
      <c r="AZ44" s="4">
        <f t="shared" ref="AZ44" si="107">SUM(BC44:BH44)</f>
        <v>7515586</v>
      </c>
      <c r="BA44" s="4">
        <f t="shared" ref="BA44" si="108">SUM(BI44:BR44)</f>
        <v>5480513</v>
      </c>
      <c r="BB44" s="4">
        <f t="shared" ref="BB44" si="109">BB43+AZ44-BA44</f>
        <v>4836367</v>
      </c>
      <c r="BC44" s="4">
        <v>0</v>
      </c>
      <c r="BD44" s="4">
        <f>4325754+2462539+556438+169146</f>
        <v>7513877</v>
      </c>
      <c r="BE44" s="4">
        <v>0</v>
      </c>
      <c r="BF44" s="4">
        <v>0</v>
      </c>
      <c r="BG44" s="4">
        <f>-1000000+1000000</f>
        <v>0</v>
      </c>
      <c r="BH44" s="4">
        <f>1518+191</f>
        <v>1709</v>
      </c>
      <c r="BI44" s="4">
        <f>250000+3000</f>
        <v>253000</v>
      </c>
      <c r="BJ44" s="6">
        <v>0</v>
      </c>
      <c r="BK44" s="4">
        <f>160273</f>
        <v>160273</v>
      </c>
      <c r="BL44" s="4">
        <v>0</v>
      </c>
      <c r="BM44" s="4">
        <v>0</v>
      </c>
      <c r="BN44" s="6">
        <f>296500+438000+64600+48000+571000+260000+296500+1408000</f>
        <v>3382600</v>
      </c>
      <c r="BO44" s="4">
        <v>0</v>
      </c>
      <c r="BP44" s="4">
        <v>0</v>
      </c>
      <c r="BQ44" s="4">
        <f>1418522+226118</f>
        <v>1644640</v>
      </c>
      <c r="BR44" s="4">
        <f>40000</f>
        <v>40000</v>
      </c>
    </row>
    <row r="45" spans="1:70">
      <c r="A45">
        <v>2026</v>
      </c>
      <c r="B45">
        <v>1</v>
      </c>
      <c r="C45">
        <v>35</v>
      </c>
      <c r="D45">
        <v>66</v>
      </c>
      <c r="E45">
        <v>22</v>
      </c>
      <c r="F45">
        <v>53</v>
      </c>
      <c r="G45" s="4">
        <f t="shared" ref="G45:G47" si="110">T45+AZ45</f>
        <v>83609216</v>
      </c>
      <c r="H45" s="4">
        <f t="shared" ref="H45:H47" si="111">U45+BA45</f>
        <v>92804298</v>
      </c>
      <c r="I45" s="4">
        <f t="shared" ref="I45:I47" si="112">G45-H45</f>
        <v>-9195082</v>
      </c>
      <c r="J45" s="4">
        <f t="shared" ref="J45:J47" si="113">J44+G45-H45</f>
        <v>25932251</v>
      </c>
      <c r="K45" s="4">
        <f t="shared" ref="K45:K47" si="114">SUM(AB45,AD45,AF45,AG45,BD45,BG45,BH45)</f>
        <v>83125416</v>
      </c>
      <c r="L45" s="4">
        <f t="shared" ref="L45:L47" si="115">SUM(AB45-AH45+BD45-BI45)</f>
        <v>81597148</v>
      </c>
      <c r="M45" s="4">
        <f t="shared" ref="M45:M47" si="116">SUM(AD45,AG45,BF45,BH45)</f>
        <v>0</v>
      </c>
      <c r="N45" s="4">
        <f t="shared" ref="N45:N47" si="117">SUM(AH45:AY45)+SUM(BI45:BR45)</f>
        <v>92804298</v>
      </c>
      <c r="O45" s="4">
        <f t="shared" ref="O45:O47" si="118">SUM(AI45,AL45,AM45,AO45:AQ45,AU45:AX45,BK45:BN45,BP45:BQ45)</f>
        <v>89904430</v>
      </c>
      <c r="P45" s="4">
        <f t="shared" ref="P45:P47" si="119">SUM(AJ45:AK45,AN45,AY45+BJ45,BR45,BO45,AR45:AT45)</f>
        <v>1387800</v>
      </c>
      <c r="Q45" s="4">
        <f t="shared" ref="Q45:Q47" si="120">K45-N45</f>
        <v>-9678882</v>
      </c>
      <c r="R45" s="4">
        <f t="shared" ref="R45:R47" si="121">AC45+BC45</f>
        <v>500000</v>
      </c>
      <c r="S45" s="4">
        <f t="shared" ref="S45:S47" si="122">AE45+BE45</f>
        <v>0</v>
      </c>
      <c r="T45" s="4">
        <f t="shared" ref="T45:T47" si="123">SUM(AA45:AG45)</f>
        <v>78759148</v>
      </c>
      <c r="U45" s="4">
        <f t="shared" ref="U45:U47" si="124">SUM(AH45:AY45)</f>
        <v>84456046</v>
      </c>
      <c r="V45" s="4">
        <f t="shared" ref="V45:V47" si="125">T45-U45</f>
        <v>-5696898</v>
      </c>
      <c r="W45" s="4">
        <f t="shared" ref="W45:W47" si="126">W44+T45-U45</f>
        <v>24594068</v>
      </c>
      <c r="X45" s="4">
        <f t="shared" ref="X45:X47" si="127">AB45+AF45+AG45</f>
        <v>78742948</v>
      </c>
      <c r="Y45" s="4">
        <f t="shared" ref="Y45:Y46" si="128">SUM(AH45:AY45)</f>
        <v>84456046</v>
      </c>
      <c r="Z45" s="4">
        <f t="shared" ref="Z45:Z47" si="129">X45-Y45</f>
        <v>-5713098</v>
      </c>
      <c r="AA45" s="4">
        <v>0</v>
      </c>
      <c r="AB45" s="4">
        <f>78879148-120000-16200</f>
        <v>78742948</v>
      </c>
      <c r="AC45" s="4">
        <f>0</f>
        <v>0</v>
      </c>
      <c r="AD45" s="4">
        <f>16200</f>
        <v>16200</v>
      </c>
      <c r="AE45" s="4">
        <v>0</v>
      </c>
      <c r="AF45" s="4">
        <f>-30000000-34000000-1000000-1000000-2000000-1000000-1000000-4000000-1500000-8000000+30000000+34000000+1000000+1000000+2000000+1000000+1000000+4000000+1500000+8000000-400000+400000</f>
        <v>0</v>
      </c>
      <c r="AG45" s="4">
        <f>0</f>
        <v>0</v>
      </c>
      <c r="AH45" s="4">
        <f>80000+252000+168000+168000+166068+252000+168000+258000</f>
        <v>1512068</v>
      </c>
      <c r="AI45" s="4">
        <f>165000+110000</f>
        <v>275000</v>
      </c>
      <c r="AJ45" s="4">
        <v>0</v>
      </c>
      <c r="AK45" s="4">
        <f>500000+200000</f>
        <v>700000</v>
      </c>
      <c r="AL45" s="4">
        <f>410000+550000+550000+20500+1320000+600000+720000+120000-120000+17220+40390+1705000+2164390+95490+3520000+550000+20500+410000+1650000+1100000+550000</f>
        <v>15993490</v>
      </c>
      <c r="AM45" s="4">
        <f>43740028+2558950+3459190+360000+90000+90000</f>
        <v>50298168</v>
      </c>
      <c r="AN45" s="4">
        <f>0</f>
        <v>0</v>
      </c>
      <c r="AO45" s="4">
        <v>5359530</v>
      </c>
      <c r="AP45" s="4">
        <f>1271020+34000</f>
        <v>1305020</v>
      </c>
      <c r="AR45" s="4">
        <v>0</v>
      </c>
      <c r="AS45" s="4">
        <v>0</v>
      </c>
      <c r="AT45" s="4">
        <v>0</v>
      </c>
      <c r="AU45" s="4">
        <f>550000+33000+3419160</f>
        <v>4002160</v>
      </c>
      <c r="AV45" s="4">
        <v>0</v>
      </c>
      <c r="AW45" s="4">
        <f>2959497+969628</f>
        <v>3929125</v>
      </c>
      <c r="AX45" s="4">
        <f>116695+62443+216147</f>
        <v>395285</v>
      </c>
      <c r="AY45" s="4">
        <f>35210+22000+41800+250+250750+160600+17810+66780+79000+12000</f>
        <v>686200</v>
      </c>
      <c r="AZ45" s="4">
        <f t="shared" ref="AZ45:AZ47" si="130">SUM(BC45:BH45)</f>
        <v>4850068</v>
      </c>
      <c r="BA45" s="4">
        <f t="shared" ref="BA45:BA47" si="131">SUM(BI45:BR45)</f>
        <v>8348252</v>
      </c>
      <c r="BB45" s="4">
        <f t="shared" ref="BB45:BB47" si="132">BB44+AZ45-BA45</f>
        <v>1338183</v>
      </c>
      <c r="BC45" s="4">
        <f>500000</f>
        <v>500000</v>
      </c>
      <c r="BD45" s="4">
        <f>3726694+639574</f>
        <v>4366268</v>
      </c>
      <c r="BE45" s="4">
        <f>0</f>
        <v>0</v>
      </c>
      <c r="BF45" s="4">
        <f>-16200</f>
        <v>-16200</v>
      </c>
      <c r="BG45" s="4">
        <v>0</v>
      </c>
      <c r="BH45" s="4">
        <v>0</v>
      </c>
      <c r="BI45" s="4">
        <v>0</v>
      </c>
      <c r="BJ45" s="6">
        <v>0</v>
      </c>
      <c r="BK45" s="4">
        <f>179884</f>
        <v>179884</v>
      </c>
      <c r="BM45" s="4">
        <f>126260+33630</f>
        <v>159890</v>
      </c>
      <c r="BN45" s="6">
        <f>1976000+180000+624000+312000+726000+664050+66500+551000+518000+462000+428000+256500</f>
        <v>6764050</v>
      </c>
      <c r="BQ45" s="4">
        <f>1242828</f>
        <v>1242828</v>
      </c>
      <c r="BR45" s="4">
        <f>1600</f>
        <v>1600</v>
      </c>
    </row>
    <row r="46" spans="1:70">
      <c r="A46">
        <v>2026</v>
      </c>
      <c r="B46">
        <v>2</v>
      </c>
      <c r="C46">
        <v>36</v>
      </c>
      <c r="D46">
        <v>71</v>
      </c>
      <c r="E46">
        <v>22</v>
      </c>
      <c r="F46">
        <v>46</v>
      </c>
      <c r="G46" s="4">
        <f t="shared" si="110"/>
        <v>151931283</v>
      </c>
      <c r="H46" s="4">
        <f t="shared" si="111"/>
        <v>116626940</v>
      </c>
      <c r="I46" s="4">
        <f t="shared" si="112"/>
        <v>35304343</v>
      </c>
      <c r="J46" s="4">
        <f t="shared" si="113"/>
        <v>61236594</v>
      </c>
      <c r="K46" s="4">
        <f t="shared" si="114"/>
        <v>123431283</v>
      </c>
      <c r="L46" s="4">
        <f t="shared" si="115"/>
        <v>121029283</v>
      </c>
      <c r="M46" s="4">
        <f t="shared" si="116"/>
        <v>0</v>
      </c>
      <c r="N46" s="4">
        <f t="shared" si="117"/>
        <v>116626940</v>
      </c>
      <c r="O46" s="4">
        <f t="shared" si="118"/>
        <v>99392920</v>
      </c>
      <c r="P46" s="4">
        <f t="shared" si="119"/>
        <v>14832020</v>
      </c>
      <c r="Q46" s="4">
        <f t="shared" si="120"/>
        <v>6804343</v>
      </c>
      <c r="R46" s="4">
        <f t="shared" si="121"/>
        <v>28500000</v>
      </c>
      <c r="S46" s="4">
        <f t="shared" si="122"/>
        <v>0</v>
      </c>
      <c r="T46" s="4">
        <f t="shared" si="123"/>
        <v>122368895</v>
      </c>
      <c r="U46" s="4">
        <f t="shared" si="124"/>
        <v>98199486</v>
      </c>
      <c r="V46" s="4">
        <f t="shared" si="125"/>
        <v>24169409</v>
      </c>
      <c r="W46" s="4">
        <f t="shared" si="126"/>
        <v>48763477</v>
      </c>
      <c r="X46" s="4">
        <f t="shared" si="127"/>
        <v>97368895</v>
      </c>
      <c r="Y46" s="4">
        <f t="shared" si="128"/>
        <v>98199486</v>
      </c>
      <c r="Z46" s="4">
        <f t="shared" si="129"/>
        <v>-830591</v>
      </c>
      <c r="AA46" s="4">
        <v>0</v>
      </c>
      <c r="AB46" s="4">
        <f>97368895</f>
        <v>97368895</v>
      </c>
      <c r="AC46" s="4">
        <f>10000000+5000000+10000000</f>
        <v>25000000</v>
      </c>
      <c r="AD46" s="4">
        <f>0</f>
        <v>0</v>
      </c>
      <c r="AE46" s="4">
        <v>0</v>
      </c>
      <c r="AF46" s="4">
        <f>-10000000-20000000-14000000-10000000-500000-5000000-10000000-6000000-40000000-500000-300000+10000000+20000000+14000000+10000000+500000+5000000+10000000+6000000+40000000+500000+300000</f>
        <v>0</v>
      </c>
      <c r="AG46" s="4">
        <f>0</f>
        <v>0</v>
      </c>
      <c r="AH46" s="4">
        <f>400000+168000+258000+400000+252000+168000+252000+252000+252000</f>
        <v>2402000</v>
      </c>
      <c r="AI46" s="4">
        <f>165000+660000</f>
        <v>825000</v>
      </c>
      <c r="AJ46" s="4">
        <v>0</v>
      </c>
      <c r="AK46" s="4">
        <f>-3000000+200000+300000+2500000+4500000+1800000*2+2700000</f>
        <v>10800000</v>
      </c>
      <c r="AL46" s="4">
        <f>1320000+720000+600000+123120+1705000+59650+2273100+550000+770000+630000+670000+248230+50000</f>
        <v>9719100</v>
      </c>
      <c r="AM46" s="4">
        <f>272250+363000+770000+46457220+3571710+2371980</f>
        <v>53806160</v>
      </c>
      <c r="AN46" s="4">
        <f>0</f>
        <v>0</v>
      </c>
      <c r="AO46" s="4">
        <f>5156910+5697560</f>
        <v>10854470</v>
      </c>
      <c r="AP46" s="4">
        <f>1301910</f>
        <v>1301910</v>
      </c>
      <c r="AR46" s="4">
        <f>154000+27000+145000</f>
        <v>326000</v>
      </c>
      <c r="AS46" s="4">
        <v>0</v>
      </c>
      <c r="AT46" s="4">
        <v>0</v>
      </c>
      <c r="AU46" s="4">
        <f>550000+33000+110000</f>
        <v>693000</v>
      </c>
      <c r="AV46" s="4">
        <v>0</v>
      </c>
      <c r="AW46" s="4">
        <f>5058589</f>
        <v>5058589</v>
      </c>
      <c r="AX46" s="4">
        <f>117961+186630+102646</f>
        <v>407237</v>
      </c>
      <c r="AY46" s="4">
        <f>35210+22000+41800+253000+250750+253000+4400+50600+95653+5600+12350+67540+64947+500000+50000+299170</f>
        <v>2006020</v>
      </c>
      <c r="AZ46" s="4">
        <f t="shared" si="130"/>
        <v>29562388</v>
      </c>
      <c r="BA46" s="4">
        <f t="shared" si="131"/>
        <v>18427454</v>
      </c>
      <c r="BB46" s="4">
        <f t="shared" si="132"/>
        <v>12473117</v>
      </c>
      <c r="BC46" s="4">
        <f>2500000+1000000</f>
        <v>3500000</v>
      </c>
      <c r="BD46" s="4">
        <f>2688509+1926740-1336400+20714820+2068719</f>
        <v>26062388</v>
      </c>
      <c r="BE46" s="4">
        <f>0</f>
        <v>0</v>
      </c>
      <c r="BF46" s="4">
        <f>0</f>
        <v>0</v>
      </c>
      <c r="BG46" s="4">
        <f>0</f>
        <v>0</v>
      </c>
      <c r="BH46" s="4">
        <f>0</f>
        <v>0</v>
      </c>
      <c r="BI46" s="4">
        <f>0</f>
        <v>0</v>
      </c>
      <c r="BJ46" s="6">
        <f>0</f>
        <v>0</v>
      </c>
      <c r="BK46" s="4">
        <f>179884</f>
        <v>179884</v>
      </c>
      <c r="BN46" s="6">
        <f>7481300+64000+78000+7720400</f>
        <v>15343700</v>
      </c>
      <c r="BQ46" s="4">
        <f>3320+1200550</f>
        <v>1203870</v>
      </c>
      <c r="BR46" s="4">
        <f>1700000</f>
        <v>1700000</v>
      </c>
    </row>
    <row r="47" spans="1:70">
      <c r="A47">
        <v>2026</v>
      </c>
      <c r="B47">
        <v>3</v>
      </c>
      <c r="C47">
        <v>47</v>
      </c>
      <c r="D47">
        <v>116</v>
      </c>
      <c r="E47">
        <v>52</v>
      </c>
      <c r="F47">
        <v>67</v>
      </c>
      <c r="G47" s="4">
        <f t="shared" si="110"/>
        <v>100467844</v>
      </c>
      <c r="H47" s="4">
        <f t="shared" si="111"/>
        <v>126546816</v>
      </c>
      <c r="I47" s="4">
        <f t="shared" si="112"/>
        <v>-26078972</v>
      </c>
      <c r="J47" s="4">
        <f t="shared" si="113"/>
        <v>35157622</v>
      </c>
      <c r="K47" s="4">
        <f t="shared" si="114"/>
        <v>111467844</v>
      </c>
      <c r="L47" s="4">
        <f t="shared" si="115"/>
        <v>101685593</v>
      </c>
      <c r="M47" s="4">
        <f t="shared" si="116"/>
        <v>1800000</v>
      </c>
      <c r="N47" s="4">
        <f t="shared" si="117"/>
        <v>126546816</v>
      </c>
      <c r="O47" s="4">
        <f t="shared" si="118"/>
        <v>109113247</v>
      </c>
      <c r="P47" s="4">
        <f t="shared" si="119"/>
        <v>13451318</v>
      </c>
      <c r="Q47" s="4">
        <f t="shared" si="120"/>
        <v>-15078972</v>
      </c>
      <c r="R47" s="4">
        <f t="shared" si="121"/>
        <v>-7000000</v>
      </c>
      <c r="S47" s="4">
        <f t="shared" si="122"/>
        <v>0</v>
      </c>
      <c r="T47" s="4">
        <f t="shared" si="123"/>
        <v>95343203</v>
      </c>
      <c r="U47" s="4">
        <f t="shared" si="124"/>
        <v>111074719</v>
      </c>
      <c r="V47" s="4">
        <f t="shared" si="125"/>
        <v>-15731516</v>
      </c>
      <c r="W47" s="4">
        <f t="shared" si="126"/>
        <v>33031961</v>
      </c>
      <c r="X47" s="4">
        <f t="shared" si="127"/>
        <v>87343203</v>
      </c>
      <c r="Y47" s="4">
        <f>SUM(AH47:AY47)</f>
        <v>111074719</v>
      </c>
      <c r="Z47" s="4">
        <f t="shared" si="129"/>
        <v>-23731516</v>
      </c>
      <c r="AA47" s="4">
        <v>0</v>
      </c>
      <c r="AB47" s="4">
        <f>23411902+4965017+12818362+6599226+624665+37124031</f>
        <v>85543203</v>
      </c>
      <c r="AC47" s="4">
        <f>4000000</f>
        <v>4000000</v>
      </c>
      <c r="AD47" s="4">
        <f>6000000+4000000-6000000</f>
        <v>4000000</v>
      </c>
      <c r="AE47" s="4">
        <v>0</v>
      </c>
      <c r="AF47" s="4">
        <f>-400000-10000000-42000000-11000000-7000000-5000000-1000000-1000000-3000000-3000000-1000000-10000000-2000000-100000-10000000+10000000+42000000+11000000+7000000+5000000+1000000+1000000+3000000+3000000+1000000+10000000+2000000+100000+10000000+400000</f>
        <v>0</v>
      </c>
      <c r="AG47" s="4">
        <f>1800000</f>
        <v>1800000</v>
      </c>
      <c r="AH47" s="4">
        <f>400000+2000+252000+400000+252000+252000+252000+258000+400000+252000+305228+252000+318297+42000</f>
        <v>3637525</v>
      </c>
      <c r="AI47" s="4">
        <f>165000+110000+820000+1760000+440000+110000</f>
        <v>3405000</v>
      </c>
      <c r="AJ47" s="4">
        <v>0</v>
      </c>
      <c r="AK47" s="4">
        <f>-4344560-50000-416320</f>
        <v>-4810880</v>
      </c>
      <c r="AL47" s="4">
        <f>550000+1650000+1100000+1320000+600000+720000+1140+1705000+53920+3520000+820000</f>
        <v>12040060</v>
      </c>
      <c r="AM47" s="4">
        <f>180000+55802902+4760230+40000+12870+770000+180000+1920000</f>
        <v>63666002</v>
      </c>
      <c r="AN47" s="4">
        <f>10598478</f>
        <v>10598478</v>
      </c>
      <c r="AO47" s="4">
        <f>4471390</f>
        <v>4471390</v>
      </c>
      <c r="AR47" s="4">
        <f>5407000+73000</f>
        <v>5480000</v>
      </c>
      <c r="AS47" s="4">
        <v>0</v>
      </c>
      <c r="AT47" s="4">
        <v>0</v>
      </c>
      <c r="AU47" s="4">
        <f>550000+33000+527080</f>
        <v>1110080</v>
      </c>
      <c r="AV47" s="4">
        <v>0</v>
      </c>
      <c r="AW47" s="4">
        <f>2228723+6000000+610884+56490+25500</f>
        <v>8921597</v>
      </c>
      <c r="AX47" s="4">
        <f>110465+261282</f>
        <v>371747</v>
      </c>
      <c r="AY47" s="4">
        <f>35210+22000+41800+250750+5100+1415000+160600+20340+72320+1000+100000+57600+1000+1000</f>
        <v>2183720</v>
      </c>
      <c r="AZ47" s="4">
        <f t="shared" si="130"/>
        <v>5124641</v>
      </c>
      <c r="BA47" s="4">
        <f t="shared" si="131"/>
        <v>15472097</v>
      </c>
      <c r="BB47" s="4">
        <f t="shared" si="132"/>
        <v>2125661</v>
      </c>
      <c r="BC47" s="4">
        <f>-10000000-1000000</f>
        <v>-11000000</v>
      </c>
      <c r="BD47" s="4">
        <f>6544457+3951000-3182000+9379619+2605838+825727</f>
        <v>20124641</v>
      </c>
      <c r="BE47" s="4">
        <f>0</f>
        <v>0</v>
      </c>
      <c r="BF47" s="4">
        <f>6000000-6000000-4000000</f>
        <v>-4000000</v>
      </c>
      <c r="BG47" s="4">
        <f>0</f>
        <v>0</v>
      </c>
      <c r="BH47" s="4">
        <f>0</f>
        <v>0</v>
      </c>
      <c r="BI47" s="4">
        <f>1900+167826+175000</f>
        <v>344726</v>
      </c>
      <c r="BJ47" s="6">
        <v>0</v>
      </c>
      <c r="BK47" s="4">
        <f>162476</f>
        <v>162476</v>
      </c>
      <c r="BN47" s="6">
        <f>48000+656000+4028575+414800+880000+8052300</f>
        <v>14079675</v>
      </c>
      <c r="BQ47" s="4">
        <f>885220</f>
        <v>885220</v>
      </c>
      <c r="BR47" s="4">
        <f>0</f>
        <v>0</v>
      </c>
    </row>
    <row r="48" spans="1:70">
      <c r="A48">
        <v>2026</v>
      </c>
      <c r="B48">
        <v>4</v>
      </c>
      <c r="C48">
        <v>48</v>
      </c>
      <c r="D48">
        <v>122</v>
      </c>
      <c r="E48">
        <v>51</v>
      </c>
      <c r="F48">
        <v>64</v>
      </c>
      <c r="G48" s="4">
        <f t="shared" ref="G48" si="133">T48+AZ48</f>
        <v>0</v>
      </c>
      <c r="H48" s="4">
        <f t="shared" ref="H48" si="134">U48+BA48</f>
        <v>0</v>
      </c>
      <c r="I48" s="4">
        <f t="shared" ref="I48" si="135">G48-H48</f>
        <v>0</v>
      </c>
      <c r="J48" s="4">
        <f t="shared" ref="J48" si="136">J47+G48-H48</f>
        <v>35157622</v>
      </c>
      <c r="K48" s="4">
        <f t="shared" ref="K48" si="137">SUM(AB48,AD48,AF48,AG48,BD48,BG48,BH48)</f>
        <v>0</v>
      </c>
      <c r="L48" s="4">
        <f t="shared" ref="L48" si="138">SUM(AB48-AH48+BD48-BI48)</f>
        <v>0</v>
      </c>
      <c r="M48" s="4">
        <f t="shared" ref="M48" si="139">SUM(AD48,AG48,BF48,BH48)</f>
        <v>0</v>
      </c>
      <c r="N48" s="4">
        <f t="shared" ref="N48" si="140">SUM(AH48:AY48)+SUM(BI48:BR48)</f>
        <v>0</v>
      </c>
      <c r="O48" s="4">
        <f t="shared" ref="O48" si="141">SUM(AI48,AL48,AM48,AO48:AQ48,AU48:AX48,BK48:BN48,BP48:BQ48)</f>
        <v>0</v>
      </c>
      <c r="P48" s="4">
        <f t="shared" ref="P48" si="142">SUM(AJ48:AK48,AN48,AY48+BJ48,BR48,BO48,AR48:AT48)</f>
        <v>0</v>
      </c>
      <c r="Q48" s="4">
        <f t="shared" ref="Q48" si="143">K48-N48</f>
        <v>0</v>
      </c>
      <c r="R48" s="4">
        <f t="shared" ref="R48" si="144">AC48+BC48</f>
        <v>0</v>
      </c>
      <c r="S48" s="4">
        <f t="shared" ref="S48" si="145">AE48+BE48</f>
        <v>0</v>
      </c>
      <c r="T48" s="4">
        <f t="shared" ref="T48" si="146">SUM(AA48:AG48)</f>
        <v>0</v>
      </c>
      <c r="U48" s="4">
        <f t="shared" ref="U48" si="147">SUM(AH48:AY48)</f>
        <v>0</v>
      </c>
      <c r="V48" s="4">
        <f t="shared" ref="V48" si="148">T48-U48</f>
        <v>0</v>
      </c>
      <c r="W48" s="4">
        <f t="shared" ref="W48" si="149">W47+T48-U48</f>
        <v>33031961</v>
      </c>
      <c r="X48" s="4">
        <f t="shared" ref="X48" si="150">AB48+AF48+AG48</f>
        <v>0</v>
      </c>
      <c r="Y48" s="4">
        <f t="shared" ref="Y48" si="151">SUM(AH48:AY48)</f>
        <v>0</v>
      </c>
      <c r="Z48" s="4">
        <f t="shared" ref="Z48" si="152">X48-Y48</f>
        <v>0</v>
      </c>
      <c r="AA48" s="4">
        <v>0</v>
      </c>
      <c r="AE48" s="4">
        <v>0</v>
      </c>
      <c r="AJ48" s="4">
        <v>0</v>
      </c>
      <c r="AS48" s="4">
        <v>0</v>
      </c>
      <c r="AT48" s="4">
        <v>0</v>
      </c>
      <c r="AV48" s="4">
        <v>0</v>
      </c>
      <c r="AZ48" s="4">
        <f t="shared" ref="AZ48" si="153">SUM(BC48:BH48)</f>
        <v>0</v>
      </c>
      <c r="BA48" s="4">
        <f t="shared" ref="BA48" si="154">SUM(BI48:BR48)</f>
        <v>0</v>
      </c>
      <c r="BB48" s="4">
        <f t="shared" ref="BB48" si="155">BB47+AZ48-BA48</f>
        <v>2125661</v>
      </c>
      <c r="BJ48" s="6">
        <v>0</v>
      </c>
      <c r="BN48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D875-0EFA-410E-B2E1-9905684F0593}">
  <dimension ref="A1:BO54"/>
  <sheetViews>
    <sheetView zoomScale="75" zoomScaleNormal="55" workbookViewId="0">
      <pane xSplit="2" ySplit="1" topLeftCell="C2" activePane="bottomRight" state="frozen"/>
      <selection activeCell="K40" sqref="K40"/>
      <selection pane="topRight" activeCell="K40" sqref="K40"/>
      <selection pane="bottomLeft" activeCell="K40" sqref="K40"/>
      <selection pane="bottomRight" activeCell="L3" sqref="L3:L40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5" width="14.1640625" style="4" customWidth="1"/>
    <col min="16" max="17" width="14.1640625" style="4" bestFit="1" customWidth="1"/>
    <col min="18" max="18" width="14.1640625" style="4" customWidth="1"/>
    <col min="19" max="19" width="14.1640625" style="4" bestFit="1" customWidth="1"/>
    <col min="20" max="22" width="14.1640625" style="4" customWidth="1"/>
    <col min="23" max="23" width="14.1640625" style="4" bestFit="1" customWidth="1"/>
    <col min="24" max="24" width="13.1640625" style="4" bestFit="1" customWidth="1"/>
    <col min="25" max="25" width="13.1640625" style="4" customWidth="1"/>
    <col min="26" max="26" width="18.33203125" style="4" bestFit="1" customWidth="1"/>
    <col min="27" max="29" width="13.1640625" style="4" customWidth="1"/>
    <col min="30" max="30" width="12.5" style="4" bestFit="1" customWidth="1"/>
    <col min="31" max="31" width="14" style="4" bestFit="1" customWidth="1"/>
    <col min="32" max="32" width="13.6640625" style="4" bestFit="1" customWidth="1"/>
    <col min="33" max="33" width="13.5" style="4" bestFit="1" customWidth="1"/>
    <col min="34" max="34" width="12.5" style="4" bestFit="1" customWidth="1"/>
    <col min="35" max="35" width="13.1640625" style="4" bestFit="1" customWidth="1"/>
    <col min="36" max="37" width="13.1640625" style="4" customWidth="1"/>
    <col min="38" max="38" width="11.33203125" style="4" bestFit="1" customWidth="1"/>
    <col min="39" max="39" width="11.33203125" style="4" customWidth="1"/>
    <col min="40" max="40" width="12.5" style="4" bestFit="1" customWidth="1"/>
    <col min="41" max="41" width="12" style="4" bestFit="1" customWidth="1"/>
    <col min="42" max="42" width="12" style="4" customWidth="1"/>
    <col min="43" max="43" width="13.1640625" style="4" bestFit="1" customWidth="1"/>
    <col min="44" max="45" width="12" style="4" bestFit="1" customWidth="1"/>
    <col min="46" max="46" width="12" style="4" customWidth="1"/>
    <col min="47" max="47" width="12" style="4" bestFit="1" customWidth="1"/>
    <col min="48" max="48" width="16.83203125" style="4" bestFit="1" customWidth="1"/>
    <col min="49" max="51" width="14.1640625" style="4" bestFit="1" customWidth="1"/>
    <col min="52" max="52" width="14.1640625" style="4" customWidth="1"/>
    <col min="53" max="53" width="13.1640625" style="4" bestFit="1" customWidth="1"/>
    <col min="54" max="57" width="13.1640625" style="4" customWidth="1"/>
    <col min="58" max="58" width="12.5" style="4" bestFit="1" customWidth="1"/>
    <col min="59" max="59" width="12.5" style="4" customWidth="1"/>
    <col min="60" max="60" width="11.33203125" style="4" bestFit="1" customWidth="1"/>
    <col min="61" max="61" width="13.1640625" style="4" bestFit="1" customWidth="1"/>
    <col min="62" max="62" width="11.33203125" style="4" bestFit="1" customWidth="1"/>
    <col min="63" max="64" width="13.1640625" style="4" bestFit="1" customWidth="1"/>
    <col min="65" max="66" width="12" style="4" bestFit="1" customWidth="1"/>
    <col min="67" max="67" width="16.83203125" style="4" bestFit="1" customWidth="1"/>
  </cols>
  <sheetData>
    <row r="1" spans="1:67">
      <c r="A1" t="s">
        <v>104</v>
      </c>
      <c r="B1" t="s">
        <v>60</v>
      </c>
      <c r="C1" t="s">
        <v>61</v>
      </c>
      <c r="D1" t="s">
        <v>8</v>
      </c>
      <c r="E1" t="s">
        <v>10</v>
      </c>
      <c r="F1" t="s">
        <v>62</v>
      </c>
      <c r="G1" s="4" t="s">
        <v>78</v>
      </c>
      <c r="H1" s="4" t="s">
        <v>79</v>
      </c>
      <c r="I1" s="4" t="s">
        <v>102</v>
      </c>
      <c r="J1" s="4" t="s">
        <v>80</v>
      </c>
      <c r="K1" s="4" t="s">
        <v>99</v>
      </c>
      <c r="L1" s="4" t="s">
        <v>100</v>
      </c>
      <c r="M1" s="4" t="s">
        <v>101</v>
      </c>
      <c r="N1" s="4" t="s">
        <v>106</v>
      </c>
      <c r="O1" s="4" t="s">
        <v>105</v>
      </c>
      <c r="P1" s="4" t="s">
        <v>82</v>
      </c>
      <c r="Q1" s="4" t="s">
        <v>83</v>
      </c>
      <c r="R1" s="4" t="s">
        <v>103</v>
      </c>
      <c r="S1" s="4" t="s">
        <v>84</v>
      </c>
      <c r="T1" s="4" t="s">
        <v>96</v>
      </c>
      <c r="U1" s="4" t="s">
        <v>97</v>
      </c>
      <c r="V1" s="4" t="s">
        <v>98</v>
      </c>
      <c r="W1" s="4" t="s">
        <v>64</v>
      </c>
      <c r="X1" s="4" t="s">
        <v>2</v>
      </c>
      <c r="Y1" s="4" t="s">
        <v>81</v>
      </c>
      <c r="Z1" s="4" t="s">
        <v>95</v>
      </c>
      <c r="AA1" s="4" t="s">
        <v>86</v>
      </c>
      <c r="AB1" s="4" t="s">
        <v>85</v>
      </c>
      <c r="AC1" s="4" t="s">
        <v>88</v>
      </c>
      <c r="AD1" s="4" t="s">
        <v>76</v>
      </c>
      <c r="AE1" s="4" t="s">
        <v>65</v>
      </c>
      <c r="AF1" s="4" t="s">
        <v>66</v>
      </c>
      <c r="AG1" s="4" t="s">
        <v>70</v>
      </c>
      <c r="AH1" s="4" t="s">
        <v>71</v>
      </c>
      <c r="AI1" s="4" t="s">
        <v>72</v>
      </c>
      <c r="AJ1" s="4" t="s">
        <v>90</v>
      </c>
      <c r="AK1" s="4" t="s">
        <v>7</v>
      </c>
      <c r="AL1" s="4" t="s">
        <v>75</v>
      </c>
      <c r="AM1" s="4" t="s">
        <v>21</v>
      </c>
      <c r="AN1" s="4" t="s">
        <v>73</v>
      </c>
      <c r="AO1" s="4" t="s">
        <v>77</v>
      </c>
      <c r="AP1" s="4" t="s">
        <v>89</v>
      </c>
      <c r="AQ1" s="4" t="s">
        <v>74</v>
      </c>
      <c r="AR1" s="4" t="s">
        <v>69</v>
      </c>
      <c r="AS1" s="4" t="s">
        <v>68</v>
      </c>
      <c r="AT1" s="4" t="s">
        <v>87</v>
      </c>
      <c r="AU1" s="4" t="s">
        <v>67</v>
      </c>
      <c r="AV1" s="4" t="s">
        <v>63</v>
      </c>
      <c r="AW1" s="4" t="s">
        <v>92</v>
      </c>
      <c r="AX1" s="4" t="s">
        <v>93</v>
      </c>
      <c r="AY1" s="4" t="s">
        <v>91</v>
      </c>
      <c r="AZ1" s="4" t="s">
        <v>81</v>
      </c>
      <c r="BA1" s="4" t="s">
        <v>6</v>
      </c>
      <c r="BB1" s="4" t="s">
        <v>86</v>
      </c>
      <c r="BC1" s="4" t="s">
        <v>82</v>
      </c>
      <c r="BD1" s="4" t="s">
        <v>94</v>
      </c>
      <c r="BE1" s="4" t="s">
        <v>88</v>
      </c>
      <c r="BF1" s="4" t="s">
        <v>76</v>
      </c>
      <c r="BG1" s="4" t="s">
        <v>66</v>
      </c>
      <c r="BH1" s="4" t="s">
        <v>87</v>
      </c>
      <c r="BI1" s="4" t="s">
        <v>72</v>
      </c>
      <c r="BJ1" s="4" t="s">
        <v>75</v>
      </c>
      <c r="BK1" s="4" t="s">
        <v>77</v>
      </c>
      <c r="BL1" s="4" t="s">
        <v>74</v>
      </c>
      <c r="BM1" s="4" t="s">
        <v>69</v>
      </c>
      <c r="BN1" s="4" t="s">
        <v>68</v>
      </c>
      <c r="BO1" s="4" t="s">
        <v>63</v>
      </c>
    </row>
    <row r="2" spans="1:67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0" si="0">P2+AW2</f>
        <v>60000000</v>
      </c>
      <c r="H2" s="4">
        <f t="shared" ref="H2:H21" si="1">Q2+AX2</f>
        <v>0</v>
      </c>
      <c r="I2" s="4">
        <f>G2-H2</f>
        <v>60000000</v>
      </c>
      <c r="J2" s="4">
        <f>G2-H2</f>
        <v>60000000</v>
      </c>
      <c r="K2" s="4">
        <f>SUM(X2,AC2,BA2,BE2)-AD2-BF2</f>
        <v>0</v>
      </c>
      <c r="L2" s="4">
        <f>SUM(AE2:AV2)+SUM(BG2:BO2)</f>
        <v>0</v>
      </c>
      <c r="M2" s="4">
        <f>K2-L2</f>
        <v>0</v>
      </c>
      <c r="N2" s="4">
        <f>Y2+AZ2</f>
        <v>0</v>
      </c>
      <c r="O2" s="4">
        <f>AA2+BB2</f>
        <v>0</v>
      </c>
      <c r="P2" s="4">
        <f>SUM(W2:AC2)</f>
        <v>60000000</v>
      </c>
      <c r="Q2" s="4">
        <f t="shared" ref="Q2:Q21" si="2">SUM(AD2:AV2)</f>
        <v>0</v>
      </c>
      <c r="R2" s="4">
        <f>P2-Q2</f>
        <v>60000000</v>
      </c>
      <c r="S2" s="4">
        <f>P2-Q2</f>
        <v>60000000</v>
      </c>
      <c r="T2" s="4">
        <f>X2+AB2+AC2</f>
        <v>0</v>
      </c>
      <c r="U2" s="4">
        <f>SUM(AD2:AV2)</f>
        <v>0</v>
      </c>
      <c r="V2" s="4">
        <f>T2-U2</f>
        <v>0</v>
      </c>
      <c r="W2" s="4">
        <v>60000000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f>SUM(AZ2:BE2)</f>
        <v>0</v>
      </c>
      <c r="AX2" s="4">
        <f t="shared" ref="AX2:AX40" si="3">SUM(BF2:BO2)</f>
        <v>0</v>
      </c>
      <c r="AY2" s="4">
        <f>AW2-AX2</f>
        <v>0</v>
      </c>
      <c r="AZ2" s="4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</row>
    <row r="3" spans="1:67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4">G3-H3</f>
        <v>455701330</v>
      </c>
      <c r="J3" s="4">
        <f>J2+G3-H3</f>
        <v>515701330</v>
      </c>
      <c r="K3" s="4">
        <f t="shared" ref="K3:K40" si="5">SUM(X3,AC3,BA3,BE3)-AD3-BF3</f>
        <v>0</v>
      </c>
      <c r="L3" s="4">
        <f t="shared" ref="L3:L40" si="6">SUM(AD3:AV3)+SUM(BF3:BO3)</f>
        <v>84303670</v>
      </c>
      <c r="M3" s="4">
        <f t="shared" ref="M3:M40" si="7">K3-L3</f>
        <v>-84303670</v>
      </c>
      <c r="N3" s="4">
        <f t="shared" ref="N3" si="8">Y3+AZ3</f>
        <v>0</v>
      </c>
      <c r="O3" s="4">
        <f t="shared" ref="O3:O40" si="9">AA3+BB3</f>
        <v>0</v>
      </c>
      <c r="P3" s="4">
        <f t="shared" ref="P3:P8" si="10">SUM(W3:AC3)</f>
        <v>540005000</v>
      </c>
      <c r="Q3" s="4">
        <f t="shared" si="2"/>
        <v>84303670</v>
      </c>
      <c r="R3" s="4">
        <f t="shared" ref="R3:R40" si="11">P3-Q3</f>
        <v>455701330</v>
      </c>
      <c r="S3" s="4">
        <f t="shared" ref="S3:S40" si="12">S2+P3-Q3</f>
        <v>515701330</v>
      </c>
      <c r="T3" s="4">
        <f t="shared" ref="T3:T40" si="13">X3+AB3+AC3</f>
        <v>0</v>
      </c>
      <c r="U3" s="4">
        <f t="shared" ref="U3:U40" si="14">SUM(AD3:AV3)</f>
        <v>84303670</v>
      </c>
      <c r="V3" s="4">
        <f t="shared" ref="V3:V40" si="15">T3-U3</f>
        <v>-84303670</v>
      </c>
      <c r="W3" s="4">
        <f>30000000+60000000+30000000+120000000+60005000+180000000+60000000</f>
        <v>540005000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f>5500000+495000+3054020+165000+2200000</f>
        <v>11414020</v>
      </c>
      <c r="AF3" s="5">
        <f>13475000+13475000</f>
        <v>26950000</v>
      </c>
      <c r="AG3" s="4">
        <v>12500000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33000000</v>
      </c>
      <c r="AR3" s="4">
        <v>0</v>
      </c>
      <c r="AS3" s="4">
        <v>139550</v>
      </c>
      <c r="AT3" s="4">
        <v>0</v>
      </c>
      <c r="AU3" s="4">
        <f>189700+106000</f>
        <v>295700</v>
      </c>
      <c r="AV3" s="4">
        <f>4400</f>
        <v>4400</v>
      </c>
      <c r="AW3" s="4">
        <f t="shared" ref="AW3:AW8" si="16">SUM(AZ3:BE3)</f>
        <v>0</v>
      </c>
      <c r="AX3" s="4">
        <f t="shared" si="3"/>
        <v>0</v>
      </c>
      <c r="AY3" s="4">
        <f t="shared" ref="AY3:AY9" si="17">AY2+AW3-AX3</f>
        <v>0</v>
      </c>
      <c r="AZ3" s="4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</row>
    <row r="4" spans="1:67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4"/>
        <v>-587850</v>
      </c>
      <c r="J4" s="4">
        <f t="shared" ref="J4:J8" si="18">J3+G4-H4</f>
        <v>515113480</v>
      </c>
      <c r="K4" s="4">
        <f t="shared" si="5"/>
        <v>0</v>
      </c>
      <c r="L4" s="4">
        <f t="shared" si="6"/>
        <v>587850</v>
      </c>
      <c r="M4" s="4">
        <f t="shared" si="7"/>
        <v>-587850</v>
      </c>
      <c r="N4" s="4">
        <f t="shared" ref="N4:N40" si="19">Y4+AZ4</f>
        <v>0</v>
      </c>
      <c r="O4" s="4">
        <f t="shared" si="9"/>
        <v>0</v>
      </c>
      <c r="P4" s="4">
        <f t="shared" si="10"/>
        <v>0</v>
      </c>
      <c r="Q4" s="4">
        <f t="shared" si="2"/>
        <v>587850</v>
      </c>
      <c r="R4" s="4">
        <f t="shared" si="11"/>
        <v>-587850</v>
      </c>
      <c r="S4" s="4">
        <f t="shared" si="12"/>
        <v>515113480</v>
      </c>
      <c r="T4" s="4">
        <f t="shared" si="13"/>
        <v>0</v>
      </c>
      <c r="U4" s="4">
        <f t="shared" si="14"/>
        <v>587850</v>
      </c>
      <c r="V4" s="4">
        <f t="shared" si="15"/>
        <v>-587850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165000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f>8000</f>
        <v>8000</v>
      </c>
      <c r="AS4" s="4">
        <v>334350</v>
      </c>
      <c r="AT4" s="4">
        <v>0</v>
      </c>
      <c r="AU4" s="4">
        <f>55500+25000</f>
        <v>80500</v>
      </c>
      <c r="AV4" s="4">
        <v>0</v>
      </c>
      <c r="AW4" s="4">
        <f t="shared" si="16"/>
        <v>0</v>
      </c>
      <c r="AX4" s="4">
        <f t="shared" si="3"/>
        <v>0</v>
      </c>
      <c r="AY4" s="4">
        <f t="shared" si="17"/>
        <v>0</v>
      </c>
      <c r="AZ4" s="4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</row>
    <row r="5" spans="1:67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4"/>
        <v>-6110020</v>
      </c>
      <c r="J5" s="4">
        <f t="shared" si="18"/>
        <v>509003460</v>
      </c>
      <c r="K5" s="4">
        <f t="shared" si="5"/>
        <v>0</v>
      </c>
      <c r="L5" s="4">
        <f t="shared" si="6"/>
        <v>6110020</v>
      </c>
      <c r="M5" s="4">
        <f t="shared" si="7"/>
        <v>-6110020</v>
      </c>
      <c r="N5" s="4">
        <f t="shared" si="19"/>
        <v>0</v>
      </c>
      <c r="O5" s="4">
        <f t="shared" si="9"/>
        <v>0</v>
      </c>
      <c r="P5" s="4">
        <f t="shared" si="10"/>
        <v>0</v>
      </c>
      <c r="Q5" s="4">
        <f t="shared" si="2"/>
        <v>6110020</v>
      </c>
      <c r="R5" s="4">
        <f t="shared" si="11"/>
        <v>-6110020</v>
      </c>
      <c r="S5" s="4">
        <f t="shared" si="12"/>
        <v>509003460</v>
      </c>
      <c r="T5" s="4">
        <f t="shared" si="13"/>
        <v>0</v>
      </c>
      <c r="U5" s="4">
        <f t="shared" si="14"/>
        <v>6110020</v>
      </c>
      <c r="V5" s="4">
        <f t="shared" si="15"/>
        <v>-6110020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f>165000+330000</f>
        <v>495000</v>
      </c>
      <c r="AF5" s="4">
        <v>599570</v>
      </c>
      <c r="AG5" s="4">
        <v>3000500</v>
      </c>
      <c r="AH5" s="4">
        <v>880500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f>165600+38650</f>
        <v>204250</v>
      </c>
      <c r="AS5" s="4">
        <v>430200</v>
      </c>
      <c r="AT5" s="4">
        <v>0</v>
      </c>
      <c r="AU5" s="4">
        <f>500000</f>
        <v>500000</v>
      </c>
      <c r="AV5" s="4">
        <v>0</v>
      </c>
      <c r="AW5" s="4">
        <f t="shared" si="16"/>
        <v>0</v>
      </c>
      <c r="AX5" s="4">
        <f t="shared" si="3"/>
        <v>0</v>
      </c>
      <c r="AY5" s="4">
        <f t="shared" si="17"/>
        <v>0</v>
      </c>
      <c r="AZ5" s="4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</row>
    <row r="6" spans="1:67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4"/>
        <v>-131523170</v>
      </c>
      <c r="J6" s="4">
        <f t="shared" si="18"/>
        <v>377480290</v>
      </c>
      <c r="K6" s="4">
        <f t="shared" si="5"/>
        <v>0</v>
      </c>
      <c r="L6" s="4">
        <f t="shared" si="6"/>
        <v>131523170</v>
      </c>
      <c r="M6" s="4">
        <f t="shared" si="7"/>
        <v>-131523170</v>
      </c>
      <c r="N6" s="4">
        <f t="shared" si="19"/>
        <v>0</v>
      </c>
      <c r="O6" s="4">
        <f t="shared" si="9"/>
        <v>0</v>
      </c>
      <c r="P6" s="4">
        <f t="shared" si="10"/>
        <v>0</v>
      </c>
      <c r="Q6" s="4">
        <f t="shared" si="2"/>
        <v>131523170</v>
      </c>
      <c r="R6" s="4">
        <f t="shared" si="11"/>
        <v>-131523170</v>
      </c>
      <c r="S6" s="4">
        <f t="shared" si="12"/>
        <v>377480290</v>
      </c>
      <c r="T6" s="4">
        <f t="shared" si="13"/>
        <v>0</v>
      </c>
      <c r="U6" s="4">
        <f t="shared" si="14"/>
        <v>131523170</v>
      </c>
      <c r="V6" s="4">
        <f t="shared" si="15"/>
        <v>-131523170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165000</v>
      </c>
      <c r="AF6" s="4">
        <f>287500+15400+318500+90400+73500000+217500+119250</f>
        <v>74548550</v>
      </c>
      <c r="AG6" s="4">
        <f>18000500+18000500</f>
        <v>36001000</v>
      </c>
      <c r="AH6" s="4">
        <v>0</v>
      </c>
      <c r="AI6" s="4">
        <f>4614490+1467390</f>
        <v>6081880</v>
      </c>
      <c r="AJ6" s="4">
        <v>0</v>
      </c>
      <c r="AK6" s="4">
        <v>0</v>
      </c>
      <c r="AL6" s="4">
        <v>0</v>
      </c>
      <c r="AM6" s="4">
        <v>3610</v>
      </c>
      <c r="AN6" s="4">
        <v>3000500</v>
      </c>
      <c r="AO6" s="4">
        <v>5200000</v>
      </c>
      <c r="AP6" s="4">
        <v>0</v>
      </c>
      <c r="AQ6" s="4">
        <v>3300500</v>
      </c>
      <c r="AR6" s="4">
        <f>39000+319500+75000+952050+19800+13500</f>
        <v>1418850</v>
      </c>
      <c r="AS6" s="4">
        <v>1192550</v>
      </c>
      <c r="AT6" s="4">
        <v>0</v>
      </c>
      <c r="AU6" s="4">
        <f>36880+25000+30000+98900+33000</f>
        <v>223780</v>
      </c>
      <c r="AV6" s="4">
        <f>33000+107850+22800+18400+200500+4400</f>
        <v>386950</v>
      </c>
      <c r="AW6" s="4">
        <f t="shared" si="16"/>
        <v>0</v>
      </c>
      <c r="AX6" s="4">
        <f t="shared" si="3"/>
        <v>0</v>
      </c>
      <c r="AY6" s="4">
        <f t="shared" si="17"/>
        <v>0</v>
      </c>
      <c r="AZ6" s="4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</row>
    <row r="7" spans="1:67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4"/>
        <v>-104107865</v>
      </c>
      <c r="J7" s="4">
        <f t="shared" si="18"/>
        <v>273372425</v>
      </c>
      <c r="K7" s="4">
        <f t="shared" si="5"/>
        <v>24654140</v>
      </c>
      <c r="L7" s="4">
        <f t="shared" si="6"/>
        <v>137687005</v>
      </c>
      <c r="M7" s="4">
        <f t="shared" si="7"/>
        <v>-113032865</v>
      </c>
      <c r="N7" s="4">
        <f t="shared" si="19"/>
        <v>25000</v>
      </c>
      <c r="O7" s="4">
        <f t="shared" si="9"/>
        <v>0</v>
      </c>
      <c r="P7" s="4">
        <f t="shared" si="10"/>
        <v>33554140</v>
      </c>
      <c r="Q7" s="4">
        <f t="shared" si="2"/>
        <v>137687005</v>
      </c>
      <c r="R7" s="4">
        <f t="shared" si="11"/>
        <v>-104132865</v>
      </c>
      <c r="S7" s="4">
        <f t="shared" si="12"/>
        <v>273347425</v>
      </c>
      <c r="T7" s="4">
        <f t="shared" si="13"/>
        <v>33554140</v>
      </c>
      <c r="U7" s="4">
        <f t="shared" si="14"/>
        <v>137687005</v>
      </c>
      <c r="V7" s="4">
        <f t="shared" si="15"/>
        <v>-104132865</v>
      </c>
      <c r="W7" s="4">
        <v>0</v>
      </c>
      <c r="X7" s="4">
        <f>1620000*17+1620000+400000+400000+1620000+1582740+391400</f>
        <v>33554140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f>1620000+400000+1620000+1620000+1620000+400000+1620000</f>
        <v>8900000</v>
      </c>
      <c r="AE7" s="4">
        <f>264000+334000+603000+687500+165000</f>
        <v>2053500</v>
      </c>
      <c r="AF7" s="4">
        <f>7810000+10890000+71880+88800+11760000</f>
        <v>30620680</v>
      </c>
      <c r="AG7" s="4">
        <f>18000000+18000000+300000+200000+18000000+22500000</f>
        <v>77000000</v>
      </c>
      <c r="AH7" s="4">
        <f>880000</f>
        <v>880000</v>
      </c>
      <c r="AI7" s="4">
        <f>81850+96700+145050+48350+48350+362630+3546980+4193300+1676200</f>
        <v>10199410</v>
      </c>
      <c r="AJ7" s="4">
        <v>0</v>
      </c>
      <c r="AK7" s="4">
        <v>0</v>
      </c>
      <c r="AL7" s="4">
        <f>35900+359130</f>
        <v>395030</v>
      </c>
      <c r="AM7" s="4">
        <v>61380</v>
      </c>
      <c r="AN7" s="4">
        <v>0</v>
      </c>
      <c r="AO7" s="4">
        <f>2676000+593000</f>
        <v>3269000</v>
      </c>
      <c r="AP7" s="4">
        <v>0</v>
      </c>
      <c r="AQ7" s="4">
        <v>0</v>
      </c>
      <c r="AR7" s="4">
        <f>396000+209000+49900</f>
        <v>654900</v>
      </c>
      <c r="AS7" s="4">
        <v>2587775</v>
      </c>
      <c r="AT7" s="4">
        <v>0</v>
      </c>
      <c r="AU7" s="4">
        <v>0</v>
      </c>
      <c r="AV7" s="4">
        <f>49950+400000+27000+18000+102250+11000+45940+3500+55500+9900+24680+51900+20560+35900+32700+31750+6000+137400+700+700</f>
        <v>1065330</v>
      </c>
      <c r="AW7" s="4">
        <f t="shared" si="16"/>
        <v>25000</v>
      </c>
      <c r="AX7" s="4">
        <f t="shared" si="3"/>
        <v>0</v>
      </c>
      <c r="AY7" s="4">
        <f t="shared" si="17"/>
        <v>25000</v>
      </c>
      <c r="AZ7" s="4">
        <f>10000+15000</f>
        <v>25000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</row>
    <row r="8" spans="1:67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4"/>
        <v>-189638460</v>
      </c>
      <c r="J8" s="4">
        <f t="shared" si="18"/>
        <v>83733965</v>
      </c>
      <c r="K8" s="4">
        <f t="shared" si="5"/>
        <v>-1344440</v>
      </c>
      <c r="L8" s="4">
        <f t="shared" si="6"/>
        <v>208454020</v>
      </c>
      <c r="M8" s="4">
        <f t="shared" si="7"/>
        <v>-209798460</v>
      </c>
      <c r="N8" s="4">
        <f t="shared" si="19"/>
        <v>6800000</v>
      </c>
      <c r="O8" s="4">
        <f t="shared" si="9"/>
        <v>0</v>
      </c>
      <c r="P8" s="4">
        <f t="shared" si="10"/>
        <v>7343175</v>
      </c>
      <c r="Q8" s="4">
        <f t="shared" si="2"/>
        <v>200654020</v>
      </c>
      <c r="R8" s="4">
        <f t="shared" si="11"/>
        <v>-193310845</v>
      </c>
      <c r="S8" s="4">
        <f t="shared" si="12"/>
        <v>80036580</v>
      </c>
      <c r="T8" s="4">
        <f t="shared" si="13"/>
        <v>7343175</v>
      </c>
      <c r="U8" s="4">
        <f t="shared" si="14"/>
        <v>200654020</v>
      </c>
      <c r="V8" s="4">
        <f t="shared" si="15"/>
        <v>-193310845</v>
      </c>
      <c r="W8" s="4">
        <v>0</v>
      </c>
      <c r="X8" s="4">
        <f>1582740+400000+2078000+452351+524649+2150000</f>
        <v>7187740</v>
      </c>
      <c r="Y8" s="4">
        <v>0</v>
      </c>
      <c r="Z8" s="4">
        <v>0</v>
      </c>
      <c r="AA8" s="4">
        <v>0</v>
      </c>
      <c r="AB8" s="4">
        <v>0</v>
      </c>
      <c r="AC8" s="4">
        <v>155435</v>
      </c>
      <c r="AD8" s="4">
        <f>1620000+1620000+1620000+1620000+1620000+1620000+1620000+1620000+400000</f>
        <v>13360000</v>
      </c>
      <c r="AE8" s="4">
        <f>165000+50000+30000+30000</f>
        <v>275000</v>
      </c>
      <c r="AF8" s="4">
        <f>107800000+7920000+7920000+7930750+14520000</f>
        <v>146090750</v>
      </c>
      <c r="AG8" s="4">
        <f>10000000+4700000</f>
        <v>14700000</v>
      </c>
      <c r="AH8" s="4">
        <f>880000+880000+550000</f>
        <v>2310000</v>
      </c>
      <c r="AI8" s="4">
        <f>860630+3546980+2431710+4193300+1248570</f>
        <v>12281190</v>
      </c>
      <c r="AJ8" s="4">
        <v>0</v>
      </c>
      <c r="AK8" s="4">
        <v>0</v>
      </c>
      <c r="AL8" s="4">
        <f>588130+21750+60970+629760+26700+65630</f>
        <v>1392940</v>
      </c>
      <c r="AM8" s="4">
        <v>110800</v>
      </c>
      <c r="AN8" s="4">
        <f>8436600+3927600+117000</f>
        <v>12481200</v>
      </c>
      <c r="AO8" s="4">
        <f>-5200000</f>
        <v>-5200000</v>
      </c>
      <c r="AP8" s="4">
        <v>0</v>
      </c>
      <c r="AQ8" s="4">
        <v>0</v>
      </c>
      <c r="AR8" s="4">
        <f>213500+550000</f>
        <v>763500</v>
      </c>
      <c r="AS8" s="4">
        <v>1542670</v>
      </c>
      <c r="AT8" s="4">
        <v>0</v>
      </c>
      <c r="AU8" s="4">
        <v>0</v>
      </c>
      <c r="AV8" s="4">
        <f>9900+41210+10000+48220+202280+62530+146930+13900+8000+3000</f>
        <v>545970</v>
      </c>
      <c r="AW8" s="4">
        <f t="shared" si="16"/>
        <v>11472385</v>
      </c>
      <c r="AX8" s="4">
        <f t="shared" si="3"/>
        <v>7800000</v>
      </c>
      <c r="AY8" s="4">
        <f t="shared" si="17"/>
        <v>3697385</v>
      </c>
      <c r="AZ8" s="4">
        <f>4200000+2600000</f>
        <v>6800000</v>
      </c>
      <c r="BA8" s="6">
        <f>978000+955506+1576878+1162000</f>
        <v>4672384</v>
      </c>
      <c r="BB8" s="6">
        <v>0</v>
      </c>
      <c r="BC8" s="6">
        <v>0</v>
      </c>
      <c r="BD8" s="6">
        <v>0</v>
      </c>
      <c r="BE8" s="6">
        <v>1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7800000</v>
      </c>
      <c r="BL8" s="6">
        <v>0</v>
      </c>
      <c r="BM8" s="6">
        <v>0</v>
      </c>
      <c r="BN8" s="6">
        <v>0</v>
      </c>
      <c r="BO8" s="6">
        <v>0</v>
      </c>
    </row>
    <row r="9" spans="1:67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4"/>
        <v>-77624819</v>
      </c>
      <c r="J9" s="4">
        <f t="shared" ref="J9" si="20">J8+G9-H9</f>
        <v>6109146</v>
      </c>
      <c r="K9" s="4">
        <f t="shared" si="5"/>
        <v>2113986</v>
      </c>
      <c r="L9" s="4">
        <f t="shared" si="6"/>
        <v>123758805</v>
      </c>
      <c r="M9" s="4">
        <f t="shared" si="7"/>
        <v>-121644819</v>
      </c>
      <c r="N9" s="4">
        <f t="shared" si="19"/>
        <v>42400000</v>
      </c>
      <c r="O9" s="4">
        <f t="shared" si="9"/>
        <v>0</v>
      </c>
      <c r="P9" s="4">
        <f t="shared" ref="P9" si="21">SUM(W9:AC9)</f>
        <v>48777986</v>
      </c>
      <c r="Q9" s="4">
        <f t="shared" si="2"/>
        <v>123758805</v>
      </c>
      <c r="R9" s="4">
        <f t="shared" si="11"/>
        <v>-74980819</v>
      </c>
      <c r="S9" s="4">
        <f t="shared" si="12"/>
        <v>5055761</v>
      </c>
      <c r="T9" s="4">
        <f t="shared" si="13"/>
        <v>2777986</v>
      </c>
      <c r="U9" s="4">
        <f t="shared" si="14"/>
        <v>123758805</v>
      </c>
      <c r="V9" s="4">
        <f t="shared" si="15"/>
        <v>-120980819</v>
      </c>
      <c r="W9" s="4">
        <v>0</v>
      </c>
      <c r="X9" s="4">
        <f>1360000+240000+378680+400000+369306+30000</f>
        <v>2777986</v>
      </c>
      <c r="Y9" s="4">
        <v>46000000</v>
      </c>
      <c r="Z9" s="4">
        <v>0</v>
      </c>
      <c r="AA9" s="4">
        <v>0</v>
      </c>
      <c r="AB9" s="4">
        <f>-70000000+20000000-10000000+70000000-20000000+10000000</f>
        <v>0</v>
      </c>
      <c r="AC9" s="4">
        <v>0</v>
      </c>
      <c r="AD9" s="4">
        <v>1620000</v>
      </c>
      <c r="AE9" s="4">
        <f>250000+165000+1300000</f>
        <v>1715000</v>
      </c>
      <c r="AF9" s="4">
        <f>1312300+30000+6515740+10833850+14850000+7127600+46000000</f>
        <v>86669490</v>
      </c>
      <c r="AG9" s="4">
        <v>500000</v>
      </c>
      <c r="AH9" s="4">
        <v>0</v>
      </c>
      <c r="AI9" s="4">
        <f>2745+1434600+8663060</f>
        <v>10100405</v>
      </c>
      <c r="AJ9" s="4">
        <v>0</v>
      </c>
      <c r="AK9" s="4">
        <v>0</v>
      </c>
      <c r="AL9" s="4">
        <v>0</v>
      </c>
      <c r="AM9" s="4">
        <f>55100+66760+107640+106100+208140</f>
        <v>543740</v>
      </c>
      <c r="AN9" s="4">
        <v>0</v>
      </c>
      <c r="AO9" s="4">
        <v>0</v>
      </c>
      <c r="AP9" s="4">
        <v>0</v>
      </c>
      <c r="AQ9" s="4">
        <f>3410000</f>
        <v>3410000</v>
      </c>
      <c r="AR9" s="4">
        <f>24200+3371500+180000-180000+1626400</f>
        <v>5022100</v>
      </c>
      <c r="AS9" s="4">
        <v>9963020</v>
      </c>
      <c r="AT9" s="4">
        <v>0</v>
      </c>
      <c r="AU9" s="4">
        <v>0</v>
      </c>
      <c r="AV9" s="4">
        <f>602460+329570+10000+4000+4000+35700+195800+25000+37000+54100+160000+16800+16000+46940+9600+25000+19000+484000+350000+11000+1779080</f>
        <v>4215050</v>
      </c>
      <c r="AW9" s="4">
        <f t="shared" ref="AW9" si="22">SUM(AZ9:BE9)</f>
        <v>-2644000</v>
      </c>
      <c r="AX9" s="4">
        <f t="shared" si="3"/>
        <v>0</v>
      </c>
      <c r="AY9" s="4">
        <f t="shared" si="17"/>
        <v>1053385</v>
      </c>
      <c r="AZ9" s="4">
        <v>-3600000</v>
      </c>
      <c r="BA9" s="6">
        <v>956000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</row>
    <row r="10" spans="1:67">
      <c r="A10">
        <v>2023</v>
      </c>
      <c r="B10">
        <v>2</v>
      </c>
      <c r="C10">
        <f>C9+1-1+2+1</f>
        <v>14</v>
      </c>
      <c r="D10">
        <f t="shared" ref="D10" si="23">D9</f>
        <v>0</v>
      </c>
      <c r="E10">
        <f>E9+1+1</f>
        <v>3</v>
      </c>
      <c r="F10">
        <f t="shared" ref="F10" si="24">F9</f>
        <v>0</v>
      </c>
      <c r="G10" s="4">
        <f t="shared" si="0"/>
        <v>128053672</v>
      </c>
      <c r="H10" s="4">
        <f t="shared" si="1"/>
        <v>60734152</v>
      </c>
      <c r="I10" s="4">
        <f t="shared" si="4"/>
        <v>67319520</v>
      </c>
      <c r="J10" s="4">
        <f t="shared" ref="J10:J20" si="25">J9+G10-H10</f>
        <v>73428666</v>
      </c>
      <c r="K10" s="4">
        <f t="shared" si="5"/>
        <v>46686132</v>
      </c>
      <c r="L10" s="4">
        <f t="shared" si="6"/>
        <v>60734152</v>
      </c>
      <c r="M10" s="4">
        <f t="shared" si="7"/>
        <v>-14048020</v>
      </c>
      <c r="N10" s="4">
        <f t="shared" si="19"/>
        <v>-2000000</v>
      </c>
      <c r="O10" s="4">
        <f t="shared" si="9"/>
        <v>47800000</v>
      </c>
      <c r="P10" s="4">
        <f t="shared" ref="P10:P21" si="26">SUM(W10:AC10)</f>
        <v>115920705</v>
      </c>
      <c r="Q10" s="4">
        <f t="shared" si="2"/>
        <v>59506752</v>
      </c>
      <c r="R10" s="4">
        <f t="shared" si="11"/>
        <v>56413953</v>
      </c>
      <c r="S10" s="4">
        <f t="shared" si="12"/>
        <v>61469714</v>
      </c>
      <c r="T10" s="4">
        <f t="shared" si="13"/>
        <v>38120705</v>
      </c>
      <c r="U10" s="4">
        <f t="shared" si="14"/>
        <v>59506752</v>
      </c>
      <c r="V10" s="4">
        <f t="shared" si="15"/>
        <v>-21386047</v>
      </c>
      <c r="W10" s="4">
        <f>10000000+5000000+10000000+10000000+10000000+10000000+5000000-30000000</f>
        <v>30000000</v>
      </c>
      <c r="X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Y10" s="4">
        <v>0</v>
      </c>
      <c r="Z10" s="4">
        <v>0</v>
      </c>
      <c r="AA10" s="4">
        <f>17800000+30000000</f>
        <v>47800000</v>
      </c>
      <c r="AB10" s="4">
        <v>0</v>
      </c>
      <c r="AC10" s="4">
        <v>11400</v>
      </c>
      <c r="AD10" s="4">
        <f>400000+291000+250000+252000+30000+294000+30000+30000+105000+252000+30000+269000+30000+90000+700000+1582740+282000</f>
        <v>4917740</v>
      </c>
      <c r="AE10" s="4">
        <f>165000+650000+687500+240000+702000</f>
        <v>2444500</v>
      </c>
      <c r="AF10" s="4">
        <f>594000</f>
        <v>594000</v>
      </c>
      <c r="AG10" s="4">
        <f>-20000000+20000000-3000000+500000+4500000</f>
        <v>2000000</v>
      </c>
      <c r="AH10" s="4">
        <f>550000+550000</f>
        <v>1100000</v>
      </c>
      <c r="AI10" s="4">
        <f>2499570+10184660+1934000</f>
        <v>14618230</v>
      </c>
      <c r="AJ10" s="4">
        <v>0</v>
      </c>
      <c r="AK10" s="4">
        <v>0</v>
      </c>
      <c r="AL10" s="4">
        <f>36910+89960+279290</f>
        <v>406160</v>
      </c>
      <c r="AM10" s="4">
        <f>214830+88000+967980+1769090</f>
        <v>3039900</v>
      </c>
      <c r="AN10" s="4">
        <v>0</v>
      </c>
      <c r="AO10" s="4">
        <f>2532000+31500</f>
        <v>2563500</v>
      </c>
      <c r="AP10" s="4">
        <f>1000000+14200000+975420+400000+90000</f>
        <v>16665420</v>
      </c>
      <c r="AQ10" s="4">
        <f>296060+3500000</f>
        <v>3796060</v>
      </c>
      <c r="AR10" s="4">
        <f>10000+10000</f>
        <v>20000</v>
      </c>
      <c r="AS10" s="4">
        <v>6581872</v>
      </c>
      <c r="AT10" s="4">
        <v>0</v>
      </c>
      <c r="AU10" s="4">
        <v>0</v>
      </c>
      <c r="AV10" s="4">
        <f>92580-92580+198350+50000+66370+444650</f>
        <v>759370</v>
      </c>
      <c r="AW10" s="4">
        <f t="shared" ref="AW10:AW20" si="27">SUM(AZ10:BE10)</f>
        <v>12132967</v>
      </c>
      <c r="AX10" s="4">
        <f t="shared" si="3"/>
        <v>1227400</v>
      </c>
      <c r="AY10" s="4">
        <f t="shared" ref="AY10:AY20" si="28">AY9+AW10-AX10</f>
        <v>11958952</v>
      </c>
      <c r="AZ10" s="4">
        <v>-2000000</v>
      </c>
      <c r="BA10" s="6">
        <f>956000+13176967</f>
        <v>14132967</v>
      </c>
      <c r="BB10" s="6">
        <v>0</v>
      </c>
      <c r="BC10" s="6">
        <v>0</v>
      </c>
      <c r="BD10" s="6">
        <v>0</v>
      </c>
      <c r="BE10" s="6">
        <v>0</v>
      </c>
      <c r="BF10" s="6">
        <f>168000+291000+156600+17100+17100</f>
        <v>649800</v>
      </c>
      <c r="BG10" s="6">
        <v>0</v>
      </c>
      <c r="BH10" s="6">
        <v>0</v>
      </c>
      <c r="BI10" s="6">
        <v>0</v>
      </c>
      <c r="BJ10" s="6">
        <v>0</v>
      </c>
      <c r="BK10" s="6">
        <v>577600</v>
      </c>
      <c r="BL10" s="6">
        <v>0</v>
      </c>
      <c r="BM10" s="6">
        <v>0</v>
      </c>
      <c r="BN10" s="6">
        <v>0</v>
      </c>
      <c r="BO10" s="6">
        <v>0</v>
      </c>
    </row>
    <row r="11" spans="1:67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4"/>
        <v>-16902370</v>
      </c>
      <c r="J11" s="4">
        <f t="shared" si="25"/>
        <v>56526296</v>
      </c>
      <c r="K11" s="4">
        <f t="shared" si="5"/>
        <v>75027859</v>
      </c>
      <c r="L11" s="4">
        <f t="shared" si="6"/>
        <v>54007727</v>
      </c>
      <c r="M11" s="4">
        <f t="shared" si="7"/>
        <v>21020132</v>
      </c>
      <c r="N11" s="4">
        <f t="shared" si="19"/>
        <v>-47200000</v>
      </c>
      <c r="O11" s="4">
        <f t="shared" si="9"/>
        <v>0</v>
      </c>
      <c r="P11" s="4">
        <f t="shared" si="26"/>
        <v>25706673</v>
      </c>
      <c r="Q11" s="4">
        <f t="shared" si="2"/>
        <v>45909107</v>
      </c>
      <c r="R11" s="4">
        <f t="shared" si="11"/>
        <v>-20202434</v>
      </c>
      <c r="S11" s="4">
        <f t="shared" si="12"/>
        <v>41267280</v>
      </c>
      <c r="T11" s="4">
        <f t="shared" si="13"/>
        <v>71706673</v>
      </c>
      <c r="U11" s="4">
        <f t="shared" si="14"/>
        <v>45909107</v>
      </c>
      <c r="V11" s="4">
        <f t="shared" si="15"/>
        <v>25797566</v>
      </c>
      <c r="W11" s="4">
        <v>0</v>
      </c>
      <c r="X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Y11" s="4">
        <v>-46000000</v>
      </c>
      <c r="Z11" s="4">
        <v>0</v>
      </c>
      <c r="AA11" s="4">
        <v>0</v>
      </c>
      <c r="AB11" s="4">
        <f>-46000000-15000000+20000000-30000000+46000000+15000000+30000000+80547-80547-20000500</f>
        <v>-500</v>
      </c>
      <c r="AC11" s="4">
        <f>540+9950</f>
        <v>10490</v>
      </c>
      <c r="AD11" s="4">
        <f>400000+252000+252000+282000+282000+294000+252000+139300+1068630+1000373+49750+1611900+168000+20000+1094000+238800+280590+376110</f>
        <v>8061453</v>
      </c>
      <c r="AE11" s="4">
        <f>165000+660000+650000</f>
        <v>1475000</v>
      </c>
      <c r="AF11" s="4">
        <v>0</v>
      </c>
      <c r="AG11" s="4">
        <v>0</v>
      </c>
      <c r="AH11" s="4">
        <f>550000+550000</f>
        <v>1100000</v>
      </c>
      <c r="AI11" s="4">
        <f>705970+20283499+2760030+120000+600000</f>
        <v>24469499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f>2640000+500000</f>
        <v>3140000</v>
      </c>
      <c r="AS11" s="4">
        <v>4943452</v>
      </c>
      <c r="AT11" s="4">
        <f>379796+80547</f>
        <v>460343</v>
      </c>
      <c r="AU11" s="4">
        <v>0</v>
      </c>
      <c r="AV11" s="4">
        <f>36770+41800+52500+264210+19900+403000+104000+108300+155000+24460+3740+9330+117590+95170+6900+14150+35640+15950+10320+8890+55740+28800+15840+5400+45220+19180+144100+88560+328900</f>
        <v>2259360</v>
      </c>
      <c r="AW11" s="4">
        <f t="shared" si="27"/>
        <v>11398684</v>
      </c>
      <c r="AX11" s="4">
        <f t="shared" si="3"/>
        <v>8098620</v>
      </c>
      <c r="AY11" s="4">
        <f t="shared" si="28"/>
        <v>15259016</v>
      </c>
      <c r="AZ11" s="4">
        <v>-1200000</v>
      </c>
      <c r="BA11" s="6">
        <f>11506699+27082+365713+69900+462198+149475</f>
        <v>12581067</v>
      </c>
      <c r="BB11" s="6">
        <v>0</v>
      </c>
      <c r="BC11" s="6">
        <v>0</v>
      </c>
      <c r="BD11" s="6">
        <v>0</v>
      </c>
      <c r="BE11" s="6">
        <v>17617</v>
      </c>
      <c r="BF11" s="6">
        <f>216000+6000+344500+299000+11750+339295</f>
        <v>1216545</v>
      </c>
      <c r="BG11" s="6">
        <v>0</v>
      </c>
      <c r="BH11" s="6">
        <v>0</v>
      </c>
      <c r="BI11" s="6">
        <v>0</v>
      </c>
      <c r="BJ11" s="6">
        <v>0</v>
      </c>
      <c r="BK11" s="6">
        <f>177650+189050+494000+348000+450000+270000+476000+114950+2221725+168000+1605000-102000+404000</f>
        <v>6816375</v>
      </c>
      <c r="BL11" s="6">
        <v>0</v>
      </c>
      <c r="BM11" s="6">
        <v>0</v>
      </c>
      <c r="BN11" s="6">
        <v>0</v>
      </c>
      <c r="BO11" s="6">
        <f>30000+15600+20100</f>
        <v>65700</v>
      </c>
    </row>
    <row r="12" spans="1:67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36666822</v>
      </c>
      <c r="H12" s="4">
        <f t="shared" si="1"/>
        <v>52601448</v>
      </c>
      <c r="I12" s="4">
        <f t="shared" si="4"/>
        <v>-15934626</v>
      </c>
      <c r="J12" s="4">
        <f t="shared" si="25"/>
        <v>40591670</v>
      </c>
      <c r="K12" s="4">
        <f t="shared" si="5"/>
        <v>36044738</v>
      </c>
      <c r="L12" s="4">
        <f t="shared" si="6"/>
        <v>52601448</v>
      </c>
      <c r="M12" s="4">
        <f t="shared" si="7"/>
        <v>-16556710</v>
      </c>
      <c r="N12" s="4">
        <f t="shared" si="19"/>
        <v>2200</v>
      </c>
      <c r="O12" s="4">
        <f t="shared" si="9"/>
        <v>0</v>
      </c>
      <c r="P12" s="4">
        <f t="shared" si="26"/>
        <v>32101558</v>
      </c>
      <c r="Q12" s="4">
        <f t="shared" si="2"/>
        <v>44981496</v>
      </c>
      <c r="R12" s="4">
        <f t="shared" si="11"/>
        <v>-12879938</v>
      </c>
      <c r="S12" s="4">
        <f t="shared" si="12"/>
        <v>28387342</v>
      </c>
      <c r="T12" s="4">
        <f t="shared" si="13"/>
        <v>32101558</v>
      </c>
      <c r="U12" s="4">
        <f t="shared" si="14"/>
        <v>44981496</v>
      </c>
      <c r="V12" s="4">
        <f t="shared" si="15"/>
        <v>-12879938</v>
      </c>
      <c r="W12" s="4">
        <v>0</v>
      </c>
      <c r="X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Y12" s="4">
        <v>0</v>
      </c>
      <c r="Z12" s="4">
        <v>0</v>
      </c>
      <c r="AA12" s="4">
        <v>0</v>
      </c>
      <c r="AB12" s="4">
        <f>-19000000-13000000+19000000+13000000+100000-100000</f>
        <v>0</v>
      </c>
      <c r="AC12" s="4">
        <v>34000</v>
      </c>
      <c r="AD12" s="4">
        <v>0</v>
      </c>
      <c r="AE12" s="4">
        <f>165000+50000+55000+1300000</f>
        <v>1570000</v>
      </c>
      <c r="AF12" s="4">
        <f>363000</f>
        <v>363000</v>
      </c>
      <c r="AG12" s="4">
        <v>5000000</v>
      </c>
      <c r="AH12" s="4">
        <f>550000+550000</f>
        <v>1100000</v>
      </c>
      <c r="AI12" s="4">
        <f>2557900+60000+27198410+823330</f>
        <v>30639640</v>
      </c>
      <c r="AJ12" s="4">
        <v>0</v>
      </c>
      <c r="AK12" s="4">
        <f>466400+3220800</f>
        <v>3687200</v>
      </c>
      <c r="AL12" s="4">
        <f>34000</f>
        <v>34000</v>
      </c>
      <c r="AM12" s="4">
        <f>2148760</f>
        <v>2148760</v>
      </c>
      <c r="AN12" s="4">
        <f>1918000-6085000</f>
        <v>-4167000</v>
      </c>
      <c r="AO12" s="4">
        <v>0</v>
      </c>
      <c r="AP12" s="4">
        <v>0</v>
      </c>
      <c r="AQ12" s="4">
        <v>0</v>
      </c>
      <c r="AR12" s="4">
        <f>33000+264000</f>
        <v>297000</v>
      </c>
      <c r="AS12" s="4">
        <v>2053600</v>
      </c>
      <c r="AT12" s="4">
        <f>408658+89178</f>
        <v>497836</v>
      </c>
      <c r="AU12" s="4">
        <v>160000</v>
      </c>
      <c r="AV12" s="4">
        <f>35210+41800+162670+250750+69810+70340+59970+67140+49560+96270+17200+160600+99950+44390+371800</f>
        <v>1597460</v>
      </c>
      <c r="AW12" s="4">
        <f t="shared" si="27"/>
        <v>4565264</v>
      </c>
      <c r="AX12" s="4">
        <f t="shared" si="3"/>
        <v>7619952</v>
      </c>
      <c r="AY12" s="4">
        <f t="shared" si="28"/>
        <v>12204328</v>
      </c>
      <c r="AZ12" s="4">
        <f>50000-19000+-28800</f>
        <v>2200</v>
      </c>
      <c r="BA12" s="6">
        <f>389457+1777286+138900+38000+500+766909+181090+184175+109222+977525</f>
        <v>4563064</v>
      </c>
      <c r="BB12" s="6">
        <v>0</v>
      </c>
      <c r="BC12" s="6">
        <v>0</v>
      </c>
      <c r="BD12" s="6">
        <v>0</v>
      </c>
      <c r="BE12" s="6">
        <v>0</v>
      </c>
      <c r="BF12" s="6">
        <f>138900+138206+342778</f>
        <v>619884</v>
      </c>
      <c r="BG12" s="6">
        <v>0</v>
      </c>
      <c r="BH12" s="6">
        <v>0</v>
      </c>
      <c r="BI12" s="5">
        <f>18218+1257100+2151660</f>
        <v>3426978</v>
      </c>
      <c r="BJ12" s="6">
        <v>0</v>
      </c>
      <c r="BK12" s="6">
        <f>38500+598000+1642000+64400+282000+736500</f>
        <v>3361400</v>
      </c>
      <c r="BL12" s="6">
        <v>0</v>
      </c>
      <c r="BM12" s="6">
        <v>0</v>
      </c>
      <c r="BN12" s="6">
        <v>0</v>
      </c>
      <c r="BO12" s="6">
        <f>1004-1004+1000+200000+1004-1004+1000+1000+8690</f>
        <v>211690</v>
      </c>
    </row>
    <row r="13" spans="1:67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4"/>
        <v>-10630303</v>
      </c>
      <c r="J13" s="4">
        <f t="shared" si="25"/>
        <v>29961367</v>
      </c>
      <c r="K13" s="4">
        <f t="shared" si="5"/>
        <v>54316852</v>
      </c>
      <c r="L13" s="4">
        <f t="shared" si="6"/>
        <v>75233147</v>
      </c>
      <c r="M13" s="4">
        <f t="shared" si="7"/>
        <v>-20916295</v>
      </c>
      <c r="N13" s="4">
        <f t="shared" si="19"/>
        <v>-15000000</v>
      </c>
      <c r="O13" s="4">
        <f t="shared" si="9"/>
        <v>25000000</v>
      </c>
      <c r="P13" s="4">
        <f t="shared" si="26"/>
        <v>58834957</v>
      </c>
      <c r="Q13" s="4">
        <f t="shared" si="2"/>
        <v>59131161</v>
      </c>
      <c r="R13" s="4">
        <f t="shared" si="11"/>
        <v>-296204</v>
      </c>
      <c r="S13" s="4">
        <f t="shared" si="12"/>
        <v>28091138</v>
      </c>
      <c r="T13" s="4">
        <f t="shared" si="13"/>
        <v>48834957</v>
      </c>
      <c r="U13" s="4">
        <f t="shared" si="14"/>
        <v>59131161</v>
      </c>
      <c r="V13" s="4">
        <f t="shared" si="15"/>
        <v>-10296204</v>
      </c>
      <c r="W13" s="4">
        <v>0</v>
      </c>
      <c r="X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Y13" s="4">
        <v>10000000</v>
      </c>
      <c r="Z13" s="4">
        <v>0</v>
      </c>
      <c r="AA13" s="4">
        <v>0</v>
      </c>
      <c r="AB13" s="4">
        <f>-15000000-2400000-1000000+15000000+9000000+2400000+1000000+100000+273803-100000-9000500-273803</f>
        <v>-500</v>
      </c>
      <c r="AC13" s="4">
        <v>0</v>
      </c>
      <c r="AD13" s="4">
        <f>68000</f>
        <v>68000</v>
      </c>
      <c r="AE13" s="4">
        <v>165000</v>
      </c>
      <c r="AF13" s="4">
        <v>0</v>
      </c>
      <c r="AG13" s="4">
        <v>0</v>
      </c>
      <c r="AH13" s="4">
        <f>2400000</f>
        <v>2400000</v>
      </c>
      <c r="AI13" s="4">
        <f>120000+600000+3985010+6322880+18199180+5254840+681090</f>
        <v>35163000</v>
      </c>
      <c r="AJ13" s="4">
        <f>6110400+80000</f>
        <v>6190400</v>
      </c>
      <c r="AK13" s="4">
        <f>3093200+3379200</f>
        <v>6472400</v>
      </c>
      <c r="AL13" s="4">
        <v>0</v>
      </c>
      <c r="AM13" s="4">
        <f>1484510+1331900</f>
        <v>2816410</v>
      </c>
      <c r="AN13" s="4">
        <v>0</v>
      </c>
      <c r="AO13" s="4">
        <v>0</v>
      </c>
      <c r="AP13" s="4">
        <v>0</v>
      </c>
      <c r="AQ13" s="4">
        <v>1100000</v>
      </c>
      <c r="AR13" s="4">
        <f>65550+30570+88000</f>
        <v>184120</v>
      </c>
      <c r="AS13" s="4">
        <v>2693182</v>
      </c>
      <c r="AT13" s="4">
        <f>408658+86301</f>
        <v>494959</v>
      </c>
      <c r="AU13" s="4">
        <v>0</v>
      </c>
      <c r="AV13" s="4">
        <f>35210+41800+120000+250750+327930+269460+4480+1100+189480+15600+7490+7490+22000+90900</f>
        <v>1383690</v>
      </c>
      <c r="AW13" s="4">
        <f t="shared" si="27"/>
        <v>5767887</v>
      </c>
      <c r="AX13" s="4">
        <f t="shared" si="3"/>
        <v>16101986</v>
      </c>
      <c r="AY13" s="4">
        <f t="shared" si="28"/>
        <v>1870229</v>
      </c>
      <c r="AZ13" s="4">
        <v>-25000000</v>
      </c>
      <c r="BA13" s="6">
        <f>584205+2+4633843+98753+252084+199000</f>
        <v>5767887</v>
      </c>
      <c r="BB13" s="6">
        <f>25000000</f>
        <v>25000000</v>
      </c>
      <c r="BC13" s="6">
        <f>876020-876020</f>
        <v>0</v>
      </c>
      <c r="BD13" s="6">
        <v>0</v>
      </c>
      <c r="BE13" s="6">
        <v>0</v>
      </c>
      <c r="BF13" s="6">
        <f>58000+60492+100000</f>
        <v>218492</v>
      </c>
      <c r="BG13" s="6">
        <v>0</v>
      </c>
      <c r="BH13" s="6">
        <v>11424</v>
      </c>
      <c r="BI13" s="5">
        <f>2033090+2320800+1649620</f>
        <v>6003510</v>
      </c>
      <c r="BJ13" s="5">
        <f>64950+107740</f>
        <v>172690</v>
      </c>
      <c r="BK13" s="6">
        <f>445500+73150+199500+1943000+60000+175000+105600+408000+54000+4752500</f>
        <v>8216250</v>
      </c>
      <c r="BL13" s="6">
        <v>0</v>
      </c>
      <c r="BM13" s="6">
        <v>0</v>
      </c>
      <c r="BN13" s="6">
        <v>400</v>
      </c>
      <c r="BO13" s="5">
        <f>29700-29700+56950+876000+20+110250+31000+100000+305000</f>
        <v>1479220</v>
      </c>
    </row>
    <row r="14" spans="1:67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4"/>
        <v>10024951</v>
      </c>
      <c r="J14" s="4">
        <f t="shared" si="25"/>
        <v>39986318</v>
      </c>
      <c r="K14" s="4">
        <f t="shared" si="5"/>
        <v>61970306</v>
      </c>
      <c r="L14" s="4">
        <f t="shared" si="6"/>
        <v>53683988</v>
      </c>
      <c r="M14" s="4">
        <f t="shared" si="7"/>
        <v>8286318</v>
      </c>
      <c r="N14" s="4">
        <f t="shared" si="19"/>
        <v>0</v>
      </c>
      <c r="O14" s="4">
        <f t="shared" si="9"/>
        <v>0</v>
      </c>
      <c r="P14" s="4">
        <f t="shared" si="26"/>
        <v>53640508</v>
      </c>
      <c r="Q14" s="4">
        <f t="shared" si="2"/>
        <v>48593019</v>
      </c>
      <c r="R14" s="4">
        <f t="shared" si="11"/>
        <v>5047489</v>
      </c>
      <c r="S14" s="4">
        <f t="shared" si="12"/>
        <v>33138627</v>
      </c>
      <c r="T14" s="4">
        <f t="shared" si="13"/>
        <v>53640508</v>
      </c>
      <c r="U14" s="4">
        <f t="shared" si="14"/>
        <v>48593019</v>
      </c>
      <c r="V14" s="4">
        <f t="shared" si="15"/>
        <v>5047489</v>
      </c>
      <c r="W14" s="4">
        <v>0</v>
      </c>
      <c r="X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Y14" s="4">
        <v>0</v>
      </c>
      <c r="Z14" s="4">
        <v>0</v>
      </c>
      <c r="AA14" s="4">
        <v>0</v>
      </c>
      <c r="AB14" s="4">
        <f>-30000000-30000000+30000000+30000000</f>
        <v>0</v>
      </c>
      <c r="AC14" s="4">
        <f>7205+24+3883</f>
        <v>11112</v>
      </c>
      <c r="AD14" s="4">
        <f>761175+180000</f>
        <v>941175</v>
      </c>
      <c r="AE14" s="4">
        <v>165000</v>
      </c>
      <c r="AF14" s="4">
        <v>0</v>
      </c>
      <c r="AG14" s="4">
        <v>0</v>
      </c>
      <c r="AH14" s="4">
        <f>550000+1600000+1650000+550000</f>
        <v>4350000</v>
      </c>
      <c r="AI14" s="4">
        <f>210000+600000+4427140+30576920+1219660+894000+90000+600000+30000</f>
        <v>38647720</v>
      </c>
      <c r="AJ14" s="4">
        <v>0</v>
      </c>
      <c r="AK14" s="4">
        <v>0</v>
      </c>
      <c r="AL14" s="4">
        <f>-2570+392520</f>
        <v>389950</v>
      </c>
      <c r="AM14" s="4">
        <v>1369650</v>
      </c>
      <c r="AN14" s="4">
        <v>69000</v>
      </c>
      <c r="AO14" s="4">
        <v>0</v>
      </c>
      <c r="AP14" s="4">
        <v>53260</v>
      </c>
      <c r="AQ14" s="4">
        <v>0</v>
      </c>
      <c r="AR14" s="4">
        <f>44220+44220</f>
        <v>88440</v>
      </c>
      <c r="AS14" s="4">
        <v>1369905</v>
      </c>
      <c r="AT14" s="4">
        <f>408658+92991</f>
        <v>501649</v>
      </c>
      <c r="AU14" s="4">
        <v>0</v>
      </c>
      <c r="AV14" s="4">
        <f>4400+35210+41800+250750+160600+39520+43230+8990+39770+3000+20000</f>
        <v>647270</v>
      </c>
      <c r="AW14" s="4">
        <f t="shared" si="27"/>
        <v>10068431</v>
      </c>
      <c r="AX14" s="4">
        <f t="shared" si="3"/>
        <v>5090969</v>
      </c>
      <c r="AY14" s="4">
        <f t="shared" si="28"/>
        <v>6847691</v>
      </c>
      <c r="AZ14" s="4">
        <v>0</v>
      </c>
      <c r="BA14" s="6">
        <f>7987857+1675363+237308+164275</f>
        <v>10064803</v>
      </c>
      <c r="BB14" s="6">
        <v>0</v>
      </c>
      <c r="BC14" s="6">
        <v>0</v>
      </c>
      <c r="BD14" s="6">
        <v>0</v>
      </c>
      <c r="BE14" s="6">
        <f>3419+209</f>
        <v>3628</v>
      </c>
      <c r="BF14" s="6">
        <f>255715+88778+99500+48000+305465</f>
        <v>797458</v>
      </c>
      <c r="BG14" s="6">
        <v>0</v>
      </c>
      <c r="BH14" s="6">
        <v>88541</v>
      </c>
      <c r="BI14" s="5">
        <f>2033090</f>
        <v>2033090</v>
      </c>
      <c r="BJ14" s="6">
        <v>0</v>
      </c>
      <c r="BK14" s="6">
        <f>1168500+56050+507000+66880+146300+213750</f>
        <v>2158480</v>
      </c>
      <c r="BL14" s="6">
        <v>0</v>
      </c>
      <c r="BM14" s="6">
        <v>0</v>
      </c>
      <c r="BN14" s="6">
        <f>400+13000</f>
        <v>13400</v>
      </c>
      <c r="BO14" s="6">
        <v>0</v>
      </c>
    </row>
    <row r="15" spans="1:67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4"/>
        <v>-16823516</v>
      </c>
      <c r="J15" s="4">
        <f t="shared" si="25"/>
        <v>23162802</v>
      </c>
      <c r="K15" s="4">
        <f t="shared" si="5"/>
        <v>42056857</v>
      </c>
      <c r="L15" s="4">
        <f t="shared" si="6"/>
        <v>60903233</v>
      </c>
      <c r="M15" s="4">
        <f t="shared" si="7"/>
        <v>-18846376</v>
      </c>
      <c r="N15" s="4">
        <f t="shared" si="19"/>
        <v>1000000</v>
      </c>
      <c r="O15" s="4">
        <f t="shared" si="9"/>
        <v>0</v>
      </c>
      <c r="P15" s="4">
        <f t="shared" si="26"/>
        <v>42003920</v>
      </c>
      <c r="Q15" s="4">
        <f t="shared" si="2"/>
        <v>52798784</v>
      </c>
      <c r="R15" s="4">
        <f t="shared" si="11"/>
        <v>-10794864</v>
      </c>
      <c r="S15" s="4">
        <f t="shared" si="12"/>
        <v>22343763</v>
      </c>
      <c r="T15" s="4">
        <f t="shared" si="13"/>
        <v>42003920</v>
      </c>
      <c r="U15" s="4">
        <f t="shared" si="14"/>
        <v>52798784</v>
      </c>
      <c r="V15" s="4">
        <f t="shared" si="15"/>
        <v>-10794864</v>
      </c>
      <c r="W15" s="4">
        <v>0</v>
      </c>
      <c r="X15" s="4">
        <v>42003920</v>
      </c>
      <c r="Y15" s="4">
        <v>0</v>
      </c>
      <c r="Z15" s="4">
        <v>0</v>
      </c>
      <c r="AA15" s="4">
        <v>0</v>
      </c>
      <c r="AB15" s="4">
        <f>-40000000+40000000</f>
        <v>0</v>
      </c>
      <c r="AC15" s="4">
        <v>0</v>
      </c>
      <c r="AD15" s="4">
        <v>0</v>
      </c>
      <c r="AE15" s="4">
        <v>165000</v>
      </c>
      <c r="AF15" s="4">
        <v>0</v>
      </c>
      <c r="AG15" s="4">
        <v>0</v>
      </c>
      <c r="AH15" s="4">
        <f>1600000+1650000+550000</f>
        <v>3800000</v>
      </c>
      <c r="AI15" s="4">
        <f>4182080+574290+31448200+941160+120000+600000</f>
        <v>37865730</v>
      </c>
      <c r="AJ15" s="4">
        <v>183000</v>
      </c>
      <c r="AK15" s="4">
        <v>3300000</v>
      </c>
      <c r="AL15" s="4">
        <v>796010</v>
      </c>
      <c r="AM15" s="4">
        <f>397000+168000</f>
        <v>565000</v>
      </c>
      <c r="AN15" s="4">
        <v>0</v>
      </c>
      <c r="AO15" s="5">
        <f>1383000+270000+240000</f>
        <v>1893000</v>
      </c>
      <c r="AP15" s="4">
        <v>60000</v>
      </c>
      <c r="AQ15" s="4">
        <v>0</v>
      </c>
      <c r="AR15" s="4">
        <f>511500</f>
        <v>511500</v>
      </c>
      <c r="AS15" s="4">
        <v>1743050</v>
      </c>
      <c r="AT15" s="4">
        <f>408658+90246</f>
        <v>498904</v>
      </c>
      <c r="AU15" s="4">
        <v>0</v>
      </c>
      <c r="AV15" s="4">
        <f>35210+41800+250750+15000+160600+110230+385000+385000+34000</f>
        <v>1417590</v>
      </c>
      <c r="AW15" s="4">
        <f t="shared" si="27"/>
        <v>2075797</v>
      </c>
      <c r="AX15" s="4">
        <f t="shared" si="3"/>
        <v>8104449</v>
      </c>
      <c r="AY15" s="4">
        <f t="shared" si="28"/>
        <v>819039</v>
      </c>
      <c r="AZ15" s="4">
        <v>1000000</v>
      </c>
      <c r="BA15" s="6">
        <f>1045947+29850</f>
        <v>1075797</v>
      </c>
      <c r="BB15" s="6">
        <v>0</v>
      </c>
      <c r="BC15" s="6">
        <v>0</v>
      </c>
      <c r="BD15" s="6">
        <v>0</v>
      </c>
      <c r="BE15" s="6">
        <v>0</v>
      </c>
      <c r="BF15" s="6">
        <v>1022860</v>
      </c>
      <c r="BG15" s="6">
        <v>0</v>
      </c>
      <c r="BH15" s="6">
        <v>84999</v>
      </c>
      <c r="BI15" s="5">
        <f>463430</f>
        <v>463430</v>
      </c>
      <c r="BJ15" s="6">
        <v>0</v>
      </c>
      <c r="BK15" s="6">
        <f>4333950+66880+120770+11160+1980000</f>
        <v>6512760</v>
      </c>
      <c r="BL15" s="6">
        <v>0</v>
      </c>
      <c r="BM15" s="6">
        <v>0</v>
      </c>
      <c r="BN15" s="6">
        <v>400</v>
      </c>
      <c r="BO15" s="5">
        <v>20000</v>
      </c>
    </row>
    <row r="16" spans="1:67">
      <c r="A16">
        <v>2023</v>
      </c>
      <c r="B16">
        <v>8</v>
      </c>
      <c r="C16">
        <v>16</v>
      </c>
      <c r="D16">
        <v>45</v>
      </c>
      <c r="G16" s="4">
        <f t="shared" si="0"/>
        <v>94153073</v>
      </c>
      <c r="H16" s="4">
        <f t="shared" si="1"/>
        <v>63462268</v>
      </c>
      <c r="I16" s="4">
        <f t="shared" si="4"/>
        <v>30690805</v>
      </c>
      <c r="J16" s="4">
        <f t="shared" si="25"/>
        <v>53853607</v>
      </c>
      <c r="K16" s="4">
        <f t="shared" si="5"/>
        <v>48810435</v>
      </c>
      <c r="L16" s="4">
        <f t="shared" si="6"/>
        <v>63462268</v>
      </c>
      <c r="M16" s="4">
        <f t="shared" si="7"/>
        <v>-14651833</v>
      </c>
      <c r="N16" s="4">
        <f t="shared" si="19"/>
        <v>-10000000</v>
      </c>
      <c r="O16" s="4">
        <f t="shared" si="9"/>
        <v>0</v>
      </c>
      <c r="P16" s="4">
        <f t="shared" si="26"/>
        <v>80419656</v>
      </c>
      <c r="Q16" s="4">
        <f t="shared" si="2"/>
        <v>60930038</v>
      </c>
      <c r="R16" s="4">
        <f t="shared" si="11"/>
        <v>19489618</v>
      </c>
      <c r="S16" s="4">
        <f t="shared" si="12"/>
        <v>41833381</v>
      </c>
      <c r="T16" s="4">
        <f t="shared" si="13"/>
        <v>40419656</v>
      </c>
      <c r="U16" s="4">
        <f t="shared" si="14"/>
        <v>60930038</v>
      </c>
      <c r="V16" s="4">
        <f t="shared" si="15"/>
        <v>-20510382</v>
      </c>
      <c r="W16" s="4">
        <f>30000000+20000000</f>
        <v>50000000</v>
      </c>
      <c r="X16" s="4">
        <v>40154796</v>
      </c>
      <c r="Y16" s="4">
        <f>-10000000</f>
        <v>-10000000</v>
      </c>
      <c r="Z16" s="4">
        <v>0</v>
      </c>
      <c r="AA16" s="4">
        <v>0</v>
      </c>
      <c r="AB16" s="4">
        <f>-20000000-9000000+1000000+20000000+9000000-1000000</f>
        <v>0</v>
      </c>
      <c r="AC16" s="4">
        <f>4000+260860</f>
        <v>264860</v>
      </c>
      <c r="AD16" s="4">
        <f>1804930+1782543</f>
        <v>3587473</v>
      </c>
      <c r="AE16" s="4">
        <f>165000+809240</f>
        <v>974240</v>
      </c>
      <c r="AF16" s="4">
        <v>352000</v>
      </c>
      <c r="AG16" s="4">
        <f>-2168401</f>
        <v>-2168401</v>
      </c>
      <c r="AH16" s="4">
        <f>1600000+720000+1650000+550000</f>
        <v>4520000</v>
      </c>
      <c r="AI16" s="4">
        <f>425480+600000+3508960+1800000+31834330+600000+120000</f>
        <v>38888770</v>
      </c>
      <c r="AJ16" s="4">
        <v>0</v>
      </c>
      <c r="AK16" s="4">
        <v>4281200</v>
      </c>
      <c r="AL16" s="4">
        <f>786380+32000</f>
        <v>818380</v>
      </c>
      <c r="AM16" s="4">
        <f>1910380+2287100</f>
        <v>4197480</v>
      </c>
      <c r="AN16" s="4">
        <v>0</v>
      </c>
      <c r="AO16" s="4">
        <v>481680</v>
      </c>
      <c r="AP16" s="4">
        <v>0</v>
      </c>
      <c r="AQ16" s="4">
        <v>770000</v>
      </c>
      <c r="AR16" s="4">
        <v>0</v>
      </c>
      <c r="AS16" s="4">
        <v>2395994</v>
      </c>
      <c r="AT16" s="4">
        <f>408658+93254</f>
        <v>501912</v>
      </c>
      <c r="AU16" s="4">
        <v>0</v>
      </c>
      <c r="AV16" s="4">
        <f>35210+41800+250750+192000+45980+32270+52760+1000+241410+29130+22000+385000</f>
        <v>1329310</v>
      </c>
      <c r="AW16" s="4">
        <f>SUM(AZ16:BE16)</f>
        <v>13733417</v>
      </c>
      <c r="AX16" s="4">
        <f t="shared" si="3"/>
        <v>2532230</v>
      </c>
      <c r="AY16" s="4">
        <f t="shared" si="28"/>
        <v>12020226</v>
      </c>
      <c r="AZ16" s="4">
        <v>0</v>
      </c>
      <c r="BA16" s="6">
        <f>11325717+1028000+30000+444850+904850</f>
        <v>13733417</v>
      </c>
      <c r="BB16" s="6">
        <v>0</v>
      </c>
      <c r="BC16" s="6">
        <v>0</v>
      </c>
      <c r="BD16" s="6">
        <v>0</v>
      </c>
      <c r="BE16" s="6">
        <v>0</v>
      </c>
      <c r="BF16" s="6">
        <f>25000+210972+103480+415340+1000373</f>
        <v>1755165</v>
      </c>
      <c r="BG16" s="6">
        <v>0</v>
      </c>
      <c r="BH16" s="6">
        <v>86417</v>
      </c>
      <c r="BI16" s="5">
        <f>7000</f>
        <v>7000</v>
      </c>
      <c r="BJ16" s="6">
        <v>0</v>
      </c>
      <c r="BK16" s="6">
        <f>536648+18000*5+19000*3</f>
        <v>683648</v>
      </c>
      <c r="BL16" s="6">
        <v>0</v>
      </c>
      <c r="BM16" s="6">
        <v>0</v>
      </c>
      <c r="BN16" s="6">
        <v>0</v>
      </c>
      <c r="BO16" s="6">
        <v>0</v>
      </c>
    </row>
    <row r="17" spans="1:67">
      <c r="A17">
        <v>2023</v>
      </c>
      <c r="B17">
        <v>9</v>
      </c>
      <c r="C17">
        <v>16</v>
      </c>
      <c r="D17">
        <v>43</v>
      </c>
      <c r="G17" s="4">
        <f t="shared" si="0"/>
        <v>48838702</v>
      </c>
      <c r="H17" s="4">
        <f t="shared" si="1"/>
        <v>78266574</v>
      </c>
      <c r="I17" s="4">
        <f t="shared" si="4"/>
        <v>-29427872</v>
      </c>
      <c r="J17" s="4">
        <f t="shared" si="25"/>
        <v>24425735</v>
      </c>
      <c r="K17" s="4">
        <f t="shared" si="5"/>
        <v>58521834</v>
      </c>
      <c r="L17" s="4">
        <f t="shared" si="6"/>
        <v>78266574</v>
      </c>
      <c r="M17" s="4">
        <f t="shared" si="7"/>
        <v>-19744740</v>
      </c>
      <c r="N17" s="4">
        <f t="shared" si="19"/>
        <v>-11000000</v>
      </c>
      <c r="O17" s="4">
        <f t="shared" si="9"/>
        <v>0</v>
      </c>
      <c r="P17" s="4">
        <f t="shared" si="26"/>
        <v>42215175</v>
      </c>
      <c r="Q17" s="4">
        <f t="shared" si="2"/>
        <v>63670365</v>
      </c>
      <c r="R17" s="4">
        <f t="shared" si="11"/>
        <v>-21455190</v>
      </c>
      <c r="S17" s="4">
        <f t="shared" si="12"/>
        <v>20378191</v>
      </c>
      <c r="T17" s="4">
        <f t="shared" si="13"/>
        <v>42215175</v>
      </c>
      <c r="U17" s="4">
        <f t="shared" si="14"/>
        <v>63670365</v>
      </c>
      <c r="V17" s="4">
        <f t="shared" si="15"/>
        <v>-21455190</v>
      </c>
      <c r="W17" s="4">
        <v>0</v>
      </c>
      <c r="X17" s="4">
        <v>42215175</v>
      </c>
      <c r="Y17" s="4">
        <v>0</v>
      </c>
      <c r="Z17" s="4">
        <v>0</v>
      </c>
      <c r="AA17" s="4">
        <v>0</v>
      </c>
      <c r="AB17" s="4">
        <f>-100000+100000</f>
        <v>0</v>
      </c>
      <c r="AC17" s="4">
        <v>0</v>
      </c>
      <c r="AD17" s="4">
        <v>197000</v>
      </c>
      <c r="AE17" s="4">
        <v>165000</v>
      </c>
      <c r="AF17" s="4">
        <v>0</v>
      </c>
      <c r="AG17" s="4">
        <v>0</v>
      </c>
      <c r="AH17" s="4">
        <f>880000+880000+2750000+550000+1650000</f>
        <v>6710000</v>
      </c>
      <c r="AI17" s="4">
        <f>5321970+34515920+1200000+600000+120000</f>
        <v>41757890</v>
      </c>
      <c r="AJ17" s="4">
        <v>0</v>
      </c>
      <c r="AK17" s="4">
        <v>4648600</v>
      </c>
      <c r="AL17" s="4">
        <v>834360</v>
      </c>
      <c r="AM17" s="4">
        <f>-35240+2538030</f>
        <v>2502790</v>
      </c>
      <c r="AN17" s="4">
        <v>0</v>
      </c>
      <c r="AO17" s="4">
        <v>0</v>
      </c>
      <c r="AP17" s="4">
        <v>0</v>
      </c>
      <c r="AQ17" s="4">
        <v>2200000</v>
      </c>
      <c r="AR17" s="4">
        <f>16200</f>
        <v>16200</v>
      </c>
      <c r="AS17" s="4">
        <v>2694557</v>
      </c>
      <c r="AT17" s="4">
        <f>408658+94240</f>
        <v>502898</v>
      </c>
      <c r="AU17" s="4">
        <v>0</v>
      </c>
      <c r="AV17" s="4">
        <f>35210+41800+43950+40000+250750+43300+385000+160600+68730+14190+236500+41040+80000</f>
        <v>1441070</v>
      </c>
      <c r="AW17" s="4">
        <f t="shared" si="27"/>
        <v>6623527</v>
      </c>
      <c r="AX17" s="4">
        <f t="shared" si="3"/>
        <v>14596209</v>
      </c>
      <c r="AY17" s="4">
        <f t="shared" si="28"/>
        <v>4047544</v>
      </c>
      <c r="AZ17" s="4">
        <f>2000000+3000000+2000000-18000000</f>
        <v>-11000000</v>
      </c>
      <c r="BA17" s="6">
        <f>17427664+192533</f>
        <v>17620197</v>
      </c>
      <c r="BB17" s="6">
        <v>0</v>
      </c>
      <c r="BC17" s="6">
        <v>0</v>
      </c>
      <c r="BD17" s="6">
        <v>0</v>
      </c>
      <c r="BE17" s="6">
        <f>3000+330</f>
        <v>3330</v>
      </c>
      <c r="BF17" s="6">
        <f>923360+196508</f>
        <v>1119868</v>
      </c>
      <c r="BG17" s="6">
        <v>0</v>
      </c>
      <c r="BH17" s="6">
        <v>86417</v>
      </c>
      <c r="BI17" s="6">
        <v>0</v>
      </c>
      <c r="BJ17" s="6">
        <v>0</v>
      </c>
      <c r="BK17" s="6">
        <f>28960+1832000+114000+338000+508750+432500+1721000+133760+2233050+418000+540000+492000+611000+546000</f>
        <v>9949020</v>
      </c>
      <c r="BL17" s="6">
        <v>0</v>
      </c>
      <c r="BM17" s="6">
        <v>0</v>
      </c>
      <c r="BN17" s="6">
        <v>140904</v>
      </c>
      <c r="BO17" s="6">
        <f>3300000</f>
        <v>3300000</v>
      </c>
    </row>
    <row r="18" spans="1:67">
      <c r="A18">
        <v>2023</v>
      </c>
      <c r="B18">
        <v>10</v>
      </c>
      <c r="D18">
        <v>43</v>
      </c>
      <c r="G18" s="4">
        <f t="shared" si="0"/>
        <v>66229876</v>
      </c>
      <c r="H18" s="4">
        <f t="shared" si="1"/>
        <v>78558488</v>
      </c>
      <c r="I18" s="4">
        <f t="shared" si="4"/>
        <v>-12328612</v>
      </c>
      <c r="J18" s="4">
        <f t="shared" si="25"/>
        <v>12097123</v>
      </c>
      <c r="K18" s="4">
        <f t="shared" si="5"/>
        <v>39609104</v>
      </c>
      <c r="L18" s="4">
        <f t="shared" si="6"/>
        <v>78558488</v>
      </c>
      <c r="M18" s="4">
        <f t="shared" si="7"/>
        <v>-38949384</v>
      </c>
      <c r="N18" s="4">
        <f t="shared" si="19"/>
        <v>1500000</v>
      </c>
      <c r="O18" s="4">
        <f t="shared" si="9"/>
        <v>0</v>
      </c>
      <c r="P18" s="4">
        <f t="shared" si="26"/>
        <v>63931114</v>
      </c>
      <c r="Q18" s="4">
        <f t="shared" si="2"/>
        <v>75482670</v>
      </c>
      <c r="R18" s="4">
        <f t="shared" si="11"/>
        <v>-11551556</v>
      </c>
      <c r="S18" s="4">
        <f t="shared" si="12"/>
        <v>8826635</v>
      </c>
      <c r="T18" s="4">
        <f t="shared" si="13"/>
        <v>38931114</v>
      </c>
      <c r="U18" s="4">
        <f t="shared" si="14"/>
        <v>75482670</v>
      </c>
      <c r="V18" s="4">
        <f t="shared" si="15"/>
        <v>-36551556</v>
      </c>
      <c r="W18" s="4">
        <f>20000000+5000000</f>
        <v>25000000</v>
      </c>
      <c r="X18" s="4">
        <v>37311114</v>
      </c>
      <c r="Y18" s="4">
        <v>0</v>
      </c>
      <c r="Z18" s="4">
        <v>0</v>
      </c>
      <c r="AA18" s="4">
        <v>0</v>
      </c>
      <c r="AB18" s="4">
        <f>-100000-180000+100000</f>
        <v>-180000</v>
      </c>
      <c r="AC18" s="4">
        <v>1800000</v>
      </c>
      <c r="AD18" s="4">
        <v>0</v>
      </c>
      <c r="AE18" s="4">
        <v>165000</v>
      </c>
      <c r="AF18" s="4">
        <v>0</v>
      </c>
      <c r="AG18" s="4">
        <v>0</v>
      </c>
      <c r="AH18" s="4">
        <f>880000*2+21120000+1650000+550000</f>
        <v>25080000</v>
      </c>
      <c r="AI18" s="4">
        <f>4007160+67690+32808750+1000000+600000+1200000+90000</f>
        <v>39773600</v>
      </c>
      <c r="AJ18" s="4">
        <v>0</v>
      </c>
      <c r="AK18" s="4">
        <v>3128400</v>
      </c>
      <c r="AL18" s="4">
        <v>855020</v>
      </c>
      <c r="AM18" s="4">
        <v>2347450</v>
      </c>
      <c r="AN18" s="4">
        <v>0</v>
      </c>
      <c r="AO18" s="4">
        <v>0</v>
      </c>
      <c r="AP18" s="4">
        <v>0</v>
      </c>
      <c r="AQ18" s="4">
        <v>0</v>
      </c>
      <c r="AR18" s="4">
        <f>113400+113400-112900+117270</f>
        <v>231170</v>
      </c>
      <c r="AS18" s="4">
        <v>2306840</v>
      </c>
      <c r="AT18" s="4">
        <f>408658+91232</f>
        <v>499890</v>
      </c>
      <c r="AU18" s="4">
        <v>0</v>
      </c>
      <c r="AV18" s="4">
        <f>35210+41800+250750+4400+160600+31119+120000+33421+198000+220000</f>
        <v>1095300</v>
      </c>
      <c r="AW18" s="4">
        <f t="shared" si="27"/>
        <v>2298762</v>
      </c>
      <c r="AX18" s="4">
        <f t="shared" si="3"/>
        <v>3075818</v>
      </c>
      <c r="AY18" s="4">
        <f t="shared" si="28"/>
        <v>3270488</v>
      </c>
      <c r="AZ18" s="4">
        <v>1500000</v>
      </c>
      <c r="BA18" s="6">
        <v>798762</v>
      </c>
      <c r="BB18" s="6">
        <v>0</v>
      </c>
      <c r="BC18" s="6">
        <v>0</v>
      </c>
      <c r="BD18" s="6">
        <v>0</v>
      </c>
      <c r="BE18" s="6">
        <v>0</v>
      </c>
      <c r="BF18" s="6">
        <f>270922+29850</f>
        <v>300772</v>
      </c>
      <c r="BG18" s="6">
        <v>0</v>
      </c>
      <c r="BH18" s="6">
        <v>85958</v>
      </c>
      <c r="BI18" s="6">
        <v>0</v>
      </c>
      <c r="BJ18" s="6">
        <v>0</v>
      </c>
      <c r="BK18" s="6">
        <f>14000+14480+299250+374000+255000+36000+1684000</f>
        <v>2676730</v>
      </c>
      <c r="BL18" s="6">
        <v>0</v>
      </c>
      <c r="BM18" s="6">
        <v>0</v>
      </c>
      <c r="BN18" s="6">
        <v>0</v>
      </c>
      <c r="BO18" s="6">
        <v>12358</v>
      </c>
    </row>
    <row r="19" spans="1:67">
      <c r="A19">
        <v>2023</v>
      </c>
      <c r="B19">
        <v>11</v>
      </c>
      <c r="D19">
        <v>43</v>
      </c>
      <c r="G19" s="4">
        <f t="shared" si="0"/>
        <v>90384775</v>
      </c>
      <c r="H19" s="4">
        <f t="shared" si="1"/>
        <v>66264797</v>
      </c>
      <c r="I19" s="4">
        <f t="shared" si="4"/>
        <v>24119978</v>
      </c>
      <c r="J19" s="4">
        <f t="shared" si="25"/>
        <v>36217101</v>
      </c>
      <c r="K19" s="4">
        <f t="shared" si="5"/>
        <v>86175055</v>
      </c>
      <c r="L19" s="4">
        <f t="shared" si="6"/>
        <v>66264797</v>
      </c>
      <c r="M19" s="4">
        <f t="shared" si="7"/>
        <v>19910258</v>
      </c>
      <c r="N19" s="4">
        <f t="shared" si="19"/>
        <v>2013720</v>
      </c>
      <c r="O19" s="4">
        <f t="shared" si="9"/>
        <v>0</v>
      </c>
      <c r="P19" s="4">
        <f t="shared" si="26"/>
        <v>83239997</v>
      </c>
      <c r="Q19" s="4">
        <f t="shared" si="2"/>
        <v>63390141</v>
      </c>
      <c r="R19" s="4">
        <f t="shared" si="11"/>
        <v>19849856</v>
      </c>
      <c r="S19" s="4">
        <f t="shared" si="12"/>
        <v>28676491</v>
      </c>
      <c r="T19" s="4">
        <f t="shared" si="13"/>
        <v>83239997</v>
      </c>
      <c r="U19" s="4">
        <f t="shared" si="14"/>
        <v>63390141</v>
      </c>
      <c r="V19" s="4">
        <f t="shared" si="15"/>
        <v>19849856</v>
      </c>
      <c r="W19" s="4">
        <v>0</v>
      </c>
      <c r="X19" s="4">
        <v>83239958</v>
      </c>
      <c r="Y19" s="4">
        <v>0</v>
      </c>
      <c r="Z19" s="4">
        <v>0</v>
      </c>
      <c r="AA19" s="4">
        <v>0</v>
      </c>
      <c r="AB19" s="4">
        <f>-100000+100000</f>
        <v>0</v>
      </c>
      <c r="AC19" s="4">
        <v>39</v>
      </c>
      <c r="AD19" s="4">
        <f>1098000+1098000</f>
        <v>2196000</v>
      </c>
      <c r="AE19" s="4">
        <f>165000+264000</f>
        <v>429000</v>
      </c>
      <c r="AF19" s="4">
        <v>0</v>
      </c>
      <c r="AG19" s="4">
        <f>500000+500000</f>
        <v>1000000</v>
      </c>
      <c r="AH19" s="4">
        <f>880000*2+1650000+3520000+550000</f>
        <v>7480000</v>
      </c>
      <c r="AI19" s="4">
        <f>-120000+5604750+29010+101540+145050+31306090+2391570+600000+150000+480000</f>
        <v>40688010</v>
      </c>
      <c r="AJ19" s="4">
        <v>0</v>
      </c>
      <c r="AK19" s="4">
        <v>3044800</v>
      </c>
      <c r="AL19" s="4">
        <v>814130</v>
      </c>
      <c r="AM19" s="4">
        <v>1643280</v>
      </c>
      <c r="AN19" s="4">
        <v>839000</v>
      </c>
      <c r="AO19" s="4">
        <v>0</v>
      </c>
      <c r="AP19" s="4">
        <v>0</v>
      </c>
      <c r="AQ19" s="4">
        <v>1100000</v>
      </c>
      <c r="AR19" s="4">
        <v>0</v>
      </c>
      <c r="AS19" s="4">
        <v>2903870</v>
      </c>
      <c r="AT19" s="4">
        <f>408658+94273</f>
        <v>502931</v>
      </c>
      <c r="AU19" s="4">
        <v>0</v>
      </c>
      <c r="AV19" s="4">
        <f>35210+41800+220000+250750-12100+160600+52860</f>
        <v>749120</v>
      </c>
      <c r="AW19" s="4">
        <f t="shared" si="27"/>
        <v>7144778</v>
      </c>
      <c r="AX19" s="4">
        <f t="shared" si="3"/>
        <v>2874656</v>
      </c>
      <c r="AY19" s="4">
        <f t="shared" si="28"/>
        <v>7540610</v>
      </c>
      <c r="AZ19" s="4">
        <f>-86280+1000000+1000000+100000</f>
        <v>2013720</v>
      </c>
      <c r="BA19" s="6">
        <v>5131058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93636</v>
      </c>
      <c r="BI19" s="5">
        <v>169320</v>
      </c>
      <c r="BJ19" s="6">
        <v>0</v>
      </c>
      <c r="BK19" s="6">
        <f>190000+247000+237500+142500+572000+193800+28500</f>
        <v>1611300</v>
      </c>
      <c r="BL19" s="6">
        <v>1000000</v>
      </c>
      <c r="BM19" s="6">
        <v>0</v>
      </c>
      <c r="BN19" s="6">
        <v>400</v>
      </c>
      <c r="BO19" s="6">
        <v>0</v>
      </c>
    </row>
    <row r="20" spans="1:67">
      <c r="A20">
        <v>2023</v>
      </c>
      <c r="B20">
        <v>12</v>
      </c>
      <c r="G20" s="4">
        <f t="shared" si="0"/>
        <v>65082249</v>
      </c>
      <c r="H20" s="4">
        <f t="shared" si="1"/>
        <v>81550875</v>
      </c>
      <c r="I20" s="4">
        <f t="shared" si="4"/>
        <v>-16468626</v>
      </c>
      <c r="J20" s="4">
        <f t="shared" si="25"/>
        <v>19748475</v>
      </c>
      <c r="K20" s="4">
        <f t="shared" si="5"/>
        <v>47644519</v>
      </c>
      <c r="L20" s="4">
        <f t="shared" si="6"/>
        <v>81550875</v>
      </c>
      <c r="M20" s="4">
        <f t="shared" si="7"/>
        <v>-33906356</v>
      </c>
      <c r="N20" s="4">
        <f t="shared" si="19"/>
        <v>-4500000</v>
      </c>
      <c r="O20" s="4">
        <f t="shared" si="9"/>
        <v>0</v>
      </c>
      <c r="P20" s="4">
        <f t="shared" si="26"/>
        <v>64313732</v>
      </c>
      <c r="Q20" s="4">
        <f t="shared" si="2"/>
        <v>77087359</v>
      </c>
      <c r="R20" s="4">
        <f t="shared" si="11"/>
        <v>-12773627</v>
      </c>
      <c r="S20" s="4">
        <f t="shared" si="12"/>
        <v>15902864</v>
      </c>
      <c r="T20" s="4">
        <f t="shared" si="13"/>
        <v>49313732</v>
      </c>
      <c r="U20" s="4">
        <f t="shared" si="14"/>
        <v>77087359</v>
      </c>
      <c r="V20" s="4">
        <f t="shared" si="15"/>
        <v>-27773627</v>
      </c>
      <c r="W20" s="4">
        <v>15000000</v>
      </c>
      <c r="X20" s="4">
        <v>49298666</v>
      </c>
      <c r="Y20" s="4">
        <v>0</v>
      </c>
      <c r="Z20" s="4">
        <v>0</v>
      </c>
      <c r="AA20" s="4">
        <v>0</v>
      </c>
      <c r="AB20" s="4">
        <f>-10000000-10000000-30000000-5000000-4000000+10000000+10000000-100000+30000000+5000000+4000000+100000</f>
        <v>0</v>
      </c>
      <c r="AC20" s="4">
        <f>8911+6154+1</f>
        <v>15066</v>
      </c>
      <c r="AD20" s="4">
        <f>1098000*5+1048730</f>
        <v>6538730</v>
      </c>
      <c r="AE20" s="4">
        <f>165000+264000+286000+1500000</f>
        <v>2215000</v>
      </c>
      <c r="AF20" s="4">
        <v>396000</v>
      </c>
      <c r="AG20" s="4">
        <f>500000+4500000+4500000+4500000</f>
        <v>14000000</v>
      </c>
      <c r="AH20" s="4">
        <f>550000+880000*2+1100000+605000+1650000+3520000+600000+550000</f>
        <v>10335000</v>
      </c>
      <c r="AI20" s="4">
        <f>290100+135380+4461110+25788150+2425870</f>
        <v>33100610</v>
      </c>
      <c r="AJ20" s="4">
        <v>0</v>
      </c>
      <c r="AK20" s="4">
        <v>3509000</v>
      </c>
      <c r="AL20" s="4">
        <f>812390+175640</f>
        <v>988030</v>
      </c>
      <c r="AM20" s="4">
        <f>1641160</f>
        <v>1641160</v>
      </c>
      <c r="AN20" s="4">
        <v>0</v>
      </c>
      <c r="AO20" s="4">
        <v>0</v>
      </c>
      <c r="AP20" s="4">
        <v>0</v>
      </c>
      <c r="AQ20" s="4">
        <v>0</v>
      </c>
      <c r="AR20" s="4">
        <v>240000</v>
      </c>
      <c r="AS20" s="4">
        <v>2969543</v>
      </c>
      <c r="AT20" s="4">
        <f>408658+94438</f>
        <v>503096</v>
      </c>
      <c r="AU20" s="4">
        <v>0</v>
      </c>
      <c r="AV20" s="4">
        <f>35210+41800+6000+250750+70000+160600+78770+8060</f>
        <v>651190</v>
      </c>
      <c r="AW20" s="4">
        <f t="shared" si="27"/>
        <v>768517</v>
      </c>
      <c r="AX20" s="4">
        <f t="shared" si="3"/>
        <v>4463516</v>
      </c>
      <c r="AY20" s="4">
        <f t="shared" si="28"/>
        <v>3845611</v>
      </c>
      <c r="AZ20" s="4">
        <v>-4500000</v>
      </c>
      <c r="BA20" s="6">
        <f>4652577+177033+199995+76615+160195</f>
        <v>5266415</v>
      </c>
      <c r="BB20" s="6">
        <v>0</v>
      </c>
      <c r="BC20" s="6">
        <v>0</v>
      </c>
      <c r="BD20" s="6">
        <v>0</v>
      </c>
      <c r="BE20" s="6">
        <f>1495+607</f>
        <v>2102</v>
      </c>
      <c r="BF20" s="6">
        <f>399000</f>
        <v>399000</v>
      </c>
      <c r="BG20" s="6">
        <v>0</v>
      </c>
      <c r="BH20" s="6">
        <v>90616</v>
      </c>
      <c r="BI20" s="6">
        <v>0</v>
      </c>
      <c r="BJ20" s="6">
        <v>0</v>
      </c>
      <c r="BK20" s="6">
        <f>3314000+87000+247000</f>
        <v>3648000</v>
      </c>
      <c r="BL20" s="6">
        <v>0</v>
      </c>
      <c r="BM20" s="6">
        <v>0</v>
      </c>
      <c r="BN20" s="6">
        <f>400+36500</f>
        <v>36900</v>
      </c>
      <c r="BO20" s="5">
        <f>40000+189000+60000</f>
        <v>289000</v>
      </c>
    </row>
    <row r="21" spans="1:67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4"/>
        <v>-10209224</v>
      </c>
      <c r="J21" s="4">
        <f t="shared" ref="J21" si="29">J20+G21-H21</f>
        <v>9539251</v>
      </c>
      <c r="K21" s="4">
        <f t="shared" si="5"/>
        <v>48439305</v>
      </c>
      <c r="L21" s="4">
        <f t="shared" si="6"/>
        <v>87504297</v>
      </c>
      <c r="M21" s="4">
        <f t="shared" si="7"/>
        <v>-39064992</v>
      </c>
      <c r="N21" s="4">
        <f t="shared" si="19"/>
        <v>25000000</v>
      </c>
      <c r="O21" s="4">
        <f t="shared" si="9"/>
        <v>0</v>
      </c>
      <c r="P21" s="4">
        <f t="shared" si="26"/>
        <v>75171798</v>
      </c>
      <c r="Q21" s="4">
        <f t="shared" si="2"/>
        <v>82901180</v>
      </c>
      <c r="R21" s="4">
        <f t="shared" si="11"/>
        <v>-7729382</v>
      </c>
      <c r="S21" s="4">
        <f t="shared" si="12"/>
        <v>8173482</v>
      </c>
      <c r="T21" s="4">
        <f t="shared" si="13"/>
        <v>50661798</v>
      </c>
      <c r="U21" s="4">
        <f t="shared" si="14"/>
        <v>82901180</v>
      </c>
      <c r="V21" s="4">
        <f t="shared" si="15"/>
        <v>-32239382</v>
      </c>
      <c r="W21" s="4">
        <v>0</v>
      </c>
      <c r="X21" s="4">
        <f>28882529+19979269</f>
        <v>48861798</v>
      </c>
      <c r="Y21" s="4">
        <f>1000000+4000000+17000000+1000000+1000000</f>
        <v>24000000</v>
      </c>
      <c r="Z21" s="4">
        <f>510000</f>
        <v>510000</v>
      </c>
      <c r="AA21" s="4">
        <v>0</v>
      </c>
      <c r="AB21" s="4">
        <f>-20000000-18000000+4000000-3000000-6000000-300000-9000000+20000000+18000000-100000-4000000+3000000+6000000+300000+9000000+100000</f>
        <v>0</v>
      </c>
      <c r="AC21" s="4">
        <v>1800000</v>
      </c>
      <c r="AD21" s="4">
        <f>1092510+1080000+289000+296258+1098000</f>
        <v>3855768</v>
      </c>
      <c r="AE21" s="4">
        <f>165000</f>
        <v>165000</v>
      </c>
      <c r="AF21" s="4">
        <v>0</v>
      </c>
      <c r="AG21" s="4">
        <v>0</v>
      </c>
      <c r="AH21" s="4">
        <f>550000+1760000+1760000+550000+19635000+1650000+3520000+600000+550000+550000</f>
        <v>31125000</v>
      </c>
      <c r="AI21" s="4">
        <f>600000+90000+348120+8652840+25221280+600000+960000+120000</f>
        <v>36592240</v>
      </c>
      <c r="AJ21" s="4">
        <v>0</v>
      </c>
      <c r="AK21" s="4">
        <v>0</v>
      </c>
      <c r="AL21" s="4">
        <f>466740+34000</f>
        <v>500740</v>
      </c>
      <c r="AM21" s="4">
        <f>1722840+18030</f>
        <v>1740870</v>
      </c>
      <c r="AN21" s="4">
        <v>0</v>
      </c>
      <c r="AO21" s="4">
        <v>0</v>
      </c>
      <c r="AP21" s="4">
        <v>60000</v>
      </c>
      <c r="AQ21" s="4">
        <f>1100000+2310000</f>
        <v>3410000</v>
      </c>
      <c r="AR21" s="4">
        <v>0</v>
      </c>
      <c r="AS21" s="4">
        <f>1740085+1544247</f>
        <v>3284332</v>
      </c>
      <c r="AT21" s="4">
        <f>408658+97422</f>
        <v>506080</v>
      </c>
      <c r="AU21" s="4">
        <v>0</v>
      </c>
      <c r="AV21" s="4">
        <f>35210+38753+3047+420000+250750+1000+1000+55500+160600+28050+42740+231000+335500+58000</f>
        <v>1661150</v>
      </c>
      <c r="AW21" s="4">
        <f t="shared" ref="AW21" si="30">SUM(AZ21:BE21)</f>
        <v>2123275</v>
      </c>
      <c r="AX21" s="4">
        <f t="shared" si="3"/>
        <v>4603117</v>
      </c>
      <c r="AY21" s="4">
        <f t="shared" ref="AY21" si="31">AY20+AW21-AX21</f>
        <v>1365769</v>
      </c>
      <c r="AZ21" s="4">
        <f>1000000+2000000+1000000-3000000</f>
        <v>1000000</v>
      </c>
      <c r="BA21" s="4">
        <f>471215+897390+132335+132335</f>
        <v>1633275</v>
      </c>
      <c r="BB21" s="4">
        <v>0</v>
      </c>
      <c r="BC21" s="4">
        <f>-510000</f>
        <v>-510000</v>
      </c>
      <c r="BD21" s="4">
        <v>0</v>
      </c>
      <c r="BE21" s="4">
        <v>0</v>
      </c>
      <c r="BF21" s="4">
        <v>0</v>
      </c>
      <c r="BG21" s="4">
        <v>0</v>
      </c>
      <c r="BH21" s="4">
        <f>94025</f>
        <v>94025</v>
      </c>
      <c r="BI21" s="4">
        <v>0</v>
      </c>
      <c r="BJ21" s="4">
        <v>0</v>
      </c>
      <c r="BK21" s="4">
        <f>199995+468000+93480+50000+1790000+193500+462000+315000+637000+234000</f>
        <v>4442975</v>
      </c>
      <c r="BL21" s="4">
        <v>0</v>
      </c>
      <c r="BM21" s="4">
        <v>0</v>
      </c>
      <c r="BN21" s="4">
        <v>66117</v>
      </c>
      <c r="BO21" s="4">
        <v>0</v>
      </c>
    </row>
    <row r="22" spans="1:67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ref="H22:H32" si="32">Q22+AX22</f>
        <v>81843053</v>
      </c>
      <c r="I22" s="4">
        <f t="shared" si="4"/>
        <v>8464196</v>
      </c>
      <c r="J22" s="4">
        <f t="shared" ref="J22:J32" si="33">J21+G22-H22</f>
        <v>18003447</v>
      </c>
      <c r="K22" s="4">
        <f t="shared" si="5"/>
        <v>58389186</v>
      </c>
      <c r="L22" s="4">
        <f t="shared" si="6"/>
        <v>81843053</v>
      </c>
      <c r="M22" s="4">
        <f t="shared" si="7"/>
        <v>-23453867</v>
      </c>
      <c r="N22" s="4">
        <f t="shared" si="19"/>
        <v>28200000</v>
      </c>
      <c r="O22" s="4">
        <f t="shared" si="9"/>
        <v>0</v>
      </c>
      <c r="P22" s="4">
        <f t="shared" ref="P22:P32" si="34">SUM(W22:AC22)</f>
        <v>76773746</v>
      </c>
      <c r="Q22" s="4">
        <f t="shared" ref="Q22:Q32" si="35">SUM(AD22:AV22)</f>
        <v>72535865</v>
      </c>
      <c r="R22" s="4">
        <f t="shared" si="11"/>
        <v>4237881</v>
      </c>
      <c r="S22" s="4">
        <f t="shared" si="12"/>
        <v>12411363</v>
      </c>
      <c r="T22" s="4">
        <f t="shared" si="13"/>
        <v>53073746</v>
      </c>
      <c r="U22" s="4">
        <f t="shared" si="14"/>
        <v>72535865</v>
      </c>
      <c r="V22" s="4">
        <f t="shared" si="15"/>
        <v>-19462119</v>
      </c>
      <c r="W22" s="4">
        <v>0</v>
      </c>
      <c r="X22" s="4">
        <f>53073746</f>
        <v>53073746</v>
      </c>
      <c r="Y22" s="4">
        <f>10000000+2000000+1000000+600000+100000+5000000+5000000</f>
        <v>23700000</v>
      </c>
      <c r="Z22" s="4">
        <v>0</v>
      </c>
      <c r="AA22" s="4">
        <v>0</v>
      </c>
      <c r="AB22" s="4">
        <f>-20000000-6000000-10000000-800000-1000000-200000-1000000+20000000+6000000+10000000+800000+1000000+200000+1000000-100000+100000</f>
        <v>0</v>
      </c>
      <c r="AC22" s="4">
        <v>0</v>
      </c>
      <c r="AD22" s="4">
        <f>1098000+597000+290540+1098000</f>
        <v>3083540</v>
      </c>
      <c r="AE22" s="4">
        <f>1070000+165000+100000</f>
        <v>1335000</v>
      </c>
      <c r="AF22" s="4">
        <v>0</v>
      </c>
      <c r="AG22" s="4">
        <v>0</v>
      </c>
      <c r="AH22" s="4">
        <f>1100000+1760000+1760000+1650000+3520000+550000</f>
        <v>10340000</v>
      </c>
      <c r="AI22" s="4">
        <f>377130+839050+10515138+467200+3027980+11526890+8088320+5448200+1160400</f>
        <v>41450308</v>
      </c>
      <c r="AJ22" s="4">
        <f>100000</f>
        <v>100000</v>
      </c>
      <c r="AK22" s="4">
        <v>5201900</v>
      </c>
      <c r="AL22" s="4">
        <f>669260+15000</f>
        <v>684260</v>
      </c>
      <c r="AM22" s="4">
        <f>53740+277000</f>
        <v>330740</v>
      </c>
      <c r="AN22" s="4">
        <f>4055000+612000+345000</f>
        <v>5012000</v>
      </c>
      <c r="AO22" s="4">
        <v>0</v>
      </c>
      <c r="AP22" s="4">
        <v>0</v>
      </c>
      <c r="AQ22" s="4">
        <v>0</v>
      </c>
      <c r="AR22" s="4">
        <v>0</v>
      </c>
      <c r="AS22" s="4">
        <f>3754020</f>
        <v>3754020</v>
      </c>
      <c r="AT22" s="4">
        <f>408658+97319</f>
        <v>505977</v>
      </c>
      <c r="AU22" s="4">
        <v>0</v>
      </c>
      <c r="AV22" s="4">
        <f>35210+110560+60000+250750+160600+99000+22000</f>
        <v>738120</v>
      </c>
      <c r="AW22" s="4">
        <f t="shared" ref="AW22:AW32" si="36">SUM(AZ22:BE22)</f>
        <v>13533503</v>
      </c>
      <c r="AX22" s="4">
        <f t="shared" si="3"/>
        <v>9307188</v>
      </c>
      <c r="AY22" s="4">
        <f t="shared" ref="AY22:AY32" si="37">AY21+AW22-AX22</f>
        <v>5592084</v>
      </c>
      <c r="AZ22" s="4">
        <f>3000000+1500000</f>
        <v>4500000</v>
      </c>
      <c r="BA22" s="4">
        <f>792834+87780+1518115+6634774</f>
        <v>9033503</v>
      </c>
      <c r="BB22" s="4">
        <v>0</v>
      </c>
      <c r="BC22" s="4">
        <v>0</v>
      </c>
      <c r="BD22" s="4">
        <v>0</v>
      </c>
      <c r="BE22" s="4">
        <v>0</v>
      </c>
      <c r="BF22" s="4">
        <f>213000+200498+53865+167160</f>
        <v>634523</v>
      </c>
      <c r="BG22" s="4">
        <v>0</v>
      </c>
      <c r="BH22" s="4">
        <f>95075</f>
        <v>95075</v>
      </c>
      <c r="BI22" s="4">
        <v>0</v>
      </c>
      <c r="BJ22" s="4">
        <v>0</v>
      </c>
      <c r="BK22" s="4">
        <f>1590000+294750+345000+66000+216000+442000+701000+2814840+1427000+676000</f>
        <v>8572590</v>
      </c>
      <c r="BL22" s="4">
        <v>0</v>
      </c>
      <c r="BM22" s="4">
        <v>0</v>
      </c>
      <c r="BN22" s="4">
        <v>5000</v>
      </c>
      <c r="BO22" s="4">
        <v>0</v>
      </c>
    </row>
    <row r="23" spans="1:67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32"/>
        <v>83264731</v>
      </c>
      <c r="I23" s="4">
        <f t="shared" si="4"/>
        <v>24723879</v>
      </c>
      <c r="J23" s="4">
        <f t="shared" si="33"/>
        <v>42727326</v>
      </c>
      <c r="K23" s="4">
        <f t="shared" si="5"/>
        <v>114435410</v>
      </c>
      <c r="L23" s="4">
        <f t="shared" si="6"/>
        <v>83264731</v>
      </c>
      <c r="M23" s="4">
        <f t="shared" si="7"/>
        <v>31170679</v>
      </c>
      <c r="N23" s="4">
        <f t="shared" si="19"/>
        <v>-8900000</v>
      </c>
      <c r="O23" s="4">
        <f t="shared" si="9"/>
        <v>0</v>
      </c>
      <c r="P23" s="4">
        <f t="shared" si="34"/>
        <v>95711016</v>
      </c>
      <c r="Q23" s="4">
        <f t="shared" si="35"/>
        <v>72045005</v>
      </c>
      <c r="R23" s="4">
        <f t="shared" si="11"/>
        <v>23666011</v>
      </c>
      <c r="S23" s="4">
        <f t="shared" si="12"/>
        <v>36077374</v>
      </c>
      <c r="T23" s="4">
        <f t="shared" si="13"/>
        <v>95711016</v>
      </c>
      <c r="U23" s="4">
        <f t="shared" si="14"/>
        <v>72045005</v>
      </c>
      <c r="V23" s="4">
        <f t="shared" si="15"/>
        <v>23666011</v>
      </c>
      <c r="W23" s="4">
        <v>0</v>
      </c>
      <c r="X23" s="4">
        <f>23231772+40671780+31807464</f>
        <v>95711016</v>
      </c>
      <c r="Y23" s="4">
        <v>0</v>
      </c>
      <c r="Z23" s="4">
        <v>0</v>
      </c>
      <c r="AA23" s="4">
        <v>0</v>
      </c>
      <c r="AB23" s="4">
        <f>-12000000-40000000-20000000-20000000+12000000+40000000+20000000+20000000-100000+100000</f>
        <v>0</v>
      </c>
      <c r="AC23" s="4">
        <v>0</v>
      </c>
      <c r="AD23" s="4">
        <f>300000+40000+147000+168000+147000</f>
        <v>802000</v>
      </c>
      <c r="AE23" s="4">
        <f>165000+1600000</f>
        <v>1765000</v>
      </c>
      <c r="AF23" s="4">
        <v>0</v>
      </c>
      <c r="AG23" s="4">
        <f>-5000000-10000000</f>
        <v>-15000000</v>
      </c>
      <c r="AH23" s="4">
        <f>550000+600000+550000+1760000+1760000+5610000+330000+1650000+3520000+550000+600000+550000+550000</f>
        <v>18580000</v>
      </c>
      <c r="AI23" s="4">
        <f>480000+600000+5695280+15463850+290100+320110+261100+692530+21240+338450+11328860+13059160</f>
        <v>48550680</v>
      </c>
      <c r="AJ23" s="4">
        <v>2721400</v>
      </c>
      <c r="AK23" s="4">
        <v>4514400</v>
      </c>
      <c r="AL23" s="4">
        <v>0</v>
      </c>
      <c r="AM23" s="4">
        <f>-266760+2037000+1903000</f>
        <v>3673240</v>
      </c>
      <c r="AN23" s="4">
        <f>116000+41000</f>
        <v>157000</v>
      </c>
      <c r="AO23" s="4">
        <v>0</v>
      </c>
      <c r="AP23" s="4">
        <v>0</v>
      </c>
      <c r="AQ23" s="4">
        <f>907500</f>
        <v>907500</v>
      </c>
      <c r="AR23" s="4">
        <f>111100</f>
        <v>111100</v>
      </c>
      <c r="AS23" s="4">
        <f>3899552</f>
        <v>3899552</v>
      </c>
      <c r="AT23" s="4">
        <f>408658+87475</f>
        <v>496133</v>
      </c>
      <c r="AU23" s="4">
        <v>0</v>
      </c>
      <c r="AV23" s="4">
        <f>35210+22000+41800+22000+250750+110000+121000+160600+81640+22000</f>
        <v>867000</v>
      </c>
      <c r="AW23" s="4">
        <f>SUM(AZ23:BE23)</f>
        <v>12277594</v>
      </c>
      <c r="AX23" s="4">
        <f t="shared" si="3"/>
        <v>11219726</v>
      </c>
      <c r="AY23" s="4">
        <f t="shared" si="37"/>
        <v>6649952</v>
      </c>
      <c r="AZ23" s="4">
        <f>-5000000-3900000</f>
        <v>-8900000</v>
      </c>
      <c r="BA23" s="4">
        <f>17764126+3409749</f>
        <v>21173875</v>
      </c>
      <c r="BB23" s="4">
        <v>0</v>
      </c>
      <c r="BC23" s="4">
        <v>0</v>
      </c>
      <c r="BD23" s="4">
        <v>0</v>
      </c>
      <c r="BE23" s="4">
        <f>468+3251</f>
        <v>3719</v>
      </c>
      <c r="BF23" s="4">
        <f>1340000+292000+19200</f>
        <v>1651200</v>
      </c>
      <c r="BG23" s="4">
        <v>0</v>
      </c>
      <c r="BH23" s="4">
        <f>88941</f>
        <v>88941</v>
      </c>
      <c r="BI23" s="4">
        <v>0</v>
      </c>
      <c r="BJ23" s="4">
        <v>0</v>
      </c>
      <c r="BK23" s="4">
        <f>130000+2020000+460560+120000+30000+3039025+106000+234000+1093000+225000+2022000</f>
        <v>9479585</v>
      </c>
      <c r="BL23" s="4">
        <v>0</v>
      </c>
      <c r="BM23" s="4">
        <v>0</v>
      </c>
      <c r="BN23" s="4">
        <v>0</v>
      </c>
      <c r="BO23" s="4">
        <v>0</v>
      </c>
    </row>
    <row r="24" spans="1:67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32"/>
        <v>94646934</v>
      </c>
      <c r="I24" s="4">
        <f t="shared" si="4"/>
        <v>48484079</v>
      </c>
      <c r="J24" s="4">
        <f t="shared" si="33"/>
        <v>91211405</v>
      </c>
      <c r="K24" s="4">
        <f t="shared" si="5"/>
        <v>90457528</v>
      </c>
      <c r="L24" s="4">
        <f t="shared" si="6"/>
        <v>94646934</v>
      </c>
      <c r="M24" s="4">
        <f t="shared" si="7"/>
        <v>-4189406</v>
      </c>
      <c r="N24" s="4">
        <f t="shared" si="19"/>
        <v>-23496215</v>
      </c>
      <c r="O24" s="4">
        <f t="shared" si="9"/>
        <v>75000000</v>
      </c>
      <c r="P24" s="4">
        <f t="shared" si="34"/>
        <v>136757115</v>
      </c>
      <c r="Q24" s="4">
        <f t="shared" si="35"/>
        <v>85997464</v>
      </c>
      <c r="R24" s="4">
        <f t="shared" si="11"/>
        <v>50759651</v>
      </c>
      <c r="S24" s="4">
        <f t="shared" si="12"/>
        <v>86837025</v>
      </c>
      <c r="T24" s="4">
        <f t="shared" si="13"/>
        <v>84457115</v>
      </c>
      <c r="U24" s="4">
        <f t="shared" si="14"/>
        <v>85997464</v>
      </c>
      <c r="V24" s="4">
        <f t="shared" si="15"/>
        <v>-1540349</v>
      </c>
      <c r="W24" s="4">
        <v>0</v>
      </c>
      <c r="X24" s="4">
        <f>71833732+12611833</f>
        <v>84445565</v>
      </c>
      <c r="Y24" s="4">
        <f>-47700000</f>
        <v>-47700000</v>
      </c>
      <c r="Z24" s="4">
        <v>0</v>
      </c>
      <c r="AA24" s="4">
        <v>100000000</v>
      </c>
      <c r="AB24" s="4">
        <f>-50000000-10000000-20000000+50000000+10000000+47700000+20000000-100000+100000-47700500</f>
        <v>-500</v>
      </c>
      <c r="AC24" s="4">
        <v>12050</v>
      </c>
      <c r="AD24" s="4">
        <f>440000+112000+168000</f>
        <v>720000</v>
      </c>
      <c r="AE24" s="4">
        <f>165000+100000+233200</f>
        <v>498200</v>
      </c>
      <c r="AF24" s="4">
        <v>0</v>
      </c>
      <c r="AG24" s="4">
        <f>300000+2700000</f>
        <v>3000000</v>
      </c>
      <c r="AH24" s="4">
        <f>1760000*2+1650000+3520000+1100000+550000+600000+550000</f>
        <v>11490000</v>
      </c>
      <c r="AI24" s="4">
        <f>-338450+700000+640000+200000+386800+37691450+6448820+5159840+58020+200000</f>
        <v>51146480</v>
      </c>
      <c r="AJ24" s="4">
        <v>0</v>
      </c>
      <c r="AK24" s="4">
        <v>6594500</v>
      </c>
      <c r="AL24" s="4">
        <f>509450</f>
        <v>509450</v>
      </c>
      <c r="AM24" s="4">
        <f>123490-138230+1861230</f>
        <v>1846490</v>
      </c>
      <c r="AN24" s="4">
        <f>3245000+115000</f>
        <v>3360000</v>
      </c>
      <c r="AO24" s="4">
        <v>0</v>
      </c>
      <c r="AP24" s="4">
        <v>0</v>
      </c>
      <c r="AQ24" s="4">
        <v>1100000</v>
      </c>
      <c r="AR24" s="4">
        <f>242100+14591</f>
        <v>256691</v>
      </c>
      <c r="AS24" s="4">
        <f>2394427</f>
        <v>2394427</v>
      </c>
      <c r="AT24" s="4">
        <f>408658+93508</f>
        <v>502166</v>
      </c>
      <c r="AU24" s="4">
        <v>0</v>
      </c>
      <c r="AV24" s="4">
        <f>35210+85800+347500+250750+1099530+353170+100+22000+385000</f>
        <v>2579060</v>
      </c>
      <c r="AW24" s="4">
        <f t="shared" si="36"/>
        <v>6373898</v>
      </c>
      <c r="AX24" s="4">
        <f t="shared" si="3"/>
        <v>8649470</v>
      </c>
      <c r="AY24" s="4">
        <f t="shared" si="37"/>
        <v>4374380</v>
      </c>
      <c r="AZ24" s="4">
        <f>24003785+200000</f>
        <v>24203785</v>
      </c>
      <c r="BA24" s="4">
        <f>525859+425005+4271935+1113344</f>
        <v>6336143</v>
      </c>
      <c r="BB24" s="4">
        <f>-25000000</f>
        <v>-25000000</v>
      </c>
      <c r="BC24" s="4">
        <v>0</v>
      </c>
      <c r="BD24" s="4">
        <v>0</v>
      </c>
      <c r="BE24" s="4">
        <f>60000+773970</f>
        <v>833970</v>
      </c>
      <c r="BF24" s="4">
        <f>57200+393000</f>
        <v>450200</v>
      </c>
      <c r="BG24" s="4">
        <v>0</v>
      </c>
      <c r="BH24" s="4">
        <v>0</v>
      </c>
      <c r="BI24" s="6">
        <v>0</v>
      </c>
      <c r="BJ24" s="4">
        <v>0</v>
      </c>
      <c r="BK24" s="4">
        <f>468000+196880+999000+78000+477000+732000+264600+550000+288000+126000+1693250+150000+1822000-240000+285300</f>
        <v>7890030</v>
      </c>
      <c r="BL24" s="4">
        <v>0</v>
      </c>
      <c r="BM24" s="4">
        <v>0</v>
      </c>
      <c r="BN24" s="4">
        <f>239330</f>
        <v>239330</v>
      </c>
      <c r="BO24" s="4">
        <v>69910</v>
      </c>
    </row>
    <row r="25" spans="1:67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32"/>
        <v>86651703</v>
      </c>
      <c r="I25" s="4">
        <f t="shared" si="4"/>
        <v>-1470489</v>
      </c>
      <c r="J25" s="4">
        <f t="shared" si="33"/>
        <v>89740916</v>
      </c>
      <c r="K25" s="4">
        <f t="shared" si="5"/>
        <v>96836813</v>
      </c>
      <c r="L25" s="4">
        <f t="shared" si="6"/>
        <v>86651703</v>
      </c>
      <c r="M25" s="4">
        <f t="shared" si="7"/>
        <v>10185110</v>
      </c>
      <c r="N25" s="4">
        <f t="shared" si="19"/>
        <v>3000000</v>
      </c>
      <c r="O25" s="4">
        <f t="shared" si="9"/>
        <v>-15000794</v>
      </c>
      <c r="P25" s="4">
        <f t="shared" si="34"/>
        <v>77498225</v>
      </c>
      <c r="Q25" s="4">
        <f t="shared" si="35"/>
        <v>83931448</v>
      </c>
      <c r="R25" s="4">
        <f t="shared" si="11"/>
        <v>-6433223</v>
      </c>
      <c r="S25" s="4">
        <f t="shared" si="12"/>
        <v>80403802</v>
      </c>
      <c r="T25" s="4">
        <f t="shared" si="13"/>
        <v>88399019</v>
      </c>
      <c r="U25" s="4">
        <f t="shared" si="14"/>
        <v>83931448</v>
      </c>
      <c r="V25" s="4">
        <f t="shared" si="15"/>
        <v>4467571</v>
      </c>
      <c r="W25" s="4">
        <v>0</v>
      </c>
      <c r="X25" s="4">
        <f>84800519</f>
        <v>84800519</v>
      </c>
      <c r="Y25" s="4">
        <f>4100000</f>
        <v>4100000</v>
      </c>
      <c r="Z25" s="4">
        <v>0</v>
      </c>
      <c r="AA25" s="4">
        <f>-15000794</f>
        <v>-15000794</v>
      </c>
      <c r="AB25" s="4">
        <f>-30000000-18000000-300000-1900000-50000000+30000000+18000000+5000000+6000000+300000+1900000-50000+15000000+50000000+50000+2000000-5000500-6000500-15000500-2000000</f>
        <v>-1500</v>
      </c>
      <c r="AC25" s="4">
        <v>3600000</v>
      </c>
      <c r="AD25" s="4">
        <v>0</v>
      </c>
      <c r="AE25" s="4">
        <f>165000+100000</f>
        <v>265000</v>
      </c>
      <c r="AF25" s="4">
        <v>0</v>
      </c>
      <c r="AG25" s="4">
        <v>0</v>
      </c>
      <c r="AH25" s="4">
        <f>550000+550000+1760000+1760000+6199690+1705000+1705000+1100000+1650000+3520000+550000+550000+550000+550000+600000</f>
        <v>23299690</v>
      </c>
      <c r="AI25" s="4">
        <f>700000+640000+483500+3031180+46441270+180000+240000+2417500-530000+250000+700000+640000+386800</f>
        <v>55580250</v>
      </c>
      <c r="AJ25" s="4">
        <v>7502730</v>
      </c>
      <c r="AK25" s="4">
        <v>0</v>
      </c>
      <c r="AL25" s="4">
        <f>1308540</f>
        <v>1308540</v>
      </c>
      <c r="AM25" s="4">
        <v>0</v>
      </c>
      <c r="AN25" s="4">
        <f>180000</f>
        <v>180000</v>
      </c>
      <c r="AO25" s="4">
        <v>0</v>
      </c>
      <c r="AP25" s="4">
        <f>-1000000-2000000-2000000+19300-2000000-800000</f>
        <v>-7780700</v>
      </c>
      <c r="AQ25" s="4">
        <v>0</v>
      </c>
      <c r="AR25" s="4">
        <v>0</v>
      </c>
      <c r="AS25" s="4">
        <f>2153674</f>
        <v>2153674</v>
      </c>
      <c r="AT25" s="4">
        <f>408658+90491+283545</f>
        <v>782694</v>
      </c>
      <c r="AU25" s="4">
        <v>0</v>
      </c>
      <c r="AV25" s="4">
        <f>35210+85800+250750+160600+16450+61660+22000+3100+4000</f>
        <v>639570</v>
      </c>
      <c r="AW25" s="4">
        <f t="shared" si="36"/>
        <v>7682989</v>
      </c>
      <c r="AX25" s="4">
        <f t="shared" si="3"/>
        <v>2720255</v>
      </c>
      <c r="AY25" s="4">
        <f t="shared" si="37"/>
        <v>9337114</v>
      </c>
      <c r="AZ25" s="4">
        <f>-1100000</f>
        <v>-1100000</v>
      </c>
      <c r="BA25" s="4">
        <f>7973052+809937</f>
        <v>8782989</v>
      </c>
      <c r="BB25" s="4">
        <v>0</v>
      </c>
      <c r="BC25" s="4">
        <v>0</v>
      </c>
      <c r="BD25" s="4">
        <v>0</v>
      </c>
      <c r="BE25" s="4">
        <v>0</v>
      </c>
      <c r="BF25" s="4">
        <f>173130+173565</f>
        <v>346695</v>
      </c>
      <c r="BG25" s="4">
        <v>0</v>
      </c>
      <c r="BH25" s="4">
        <v>0</v>
      </c>
      <c r="BI25" s="4">
        <v>0</v>
      </c>
      <c r="BJ25" s="4">
        <v>0</v>
      </c>
      <c r="BK25" s="4">
        <f>136550+35000+536000+520000+345800+185250+400000+164960</f>
        <v>2323560</v>
      </c>
      <c r="BL25" s="4">
        <v>0</v>
      </c>
      <c r="BM25" s="4">
        <v>0</v>
      </c>
      <c r="BN25" s="4">
        <f>50000</f>
        <v>50000</v>
      </c>
      <c r="BO25" s="4">
        <v>0</v>
      </c>
    </row>
    <row r="26" spans="1:67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32"/>
        <v>108786857</v>
      </c>
      <c r="I26" s="4">
        <f t="shared" si="4"/>
        <v>-33218741</v>
      </c>
      <c r="J26" s="4">
        <f t="shared" si="33"/>
        <v>56522175</v>
      </c>
      <c r="K26" s="4">
        <f t="shared" si="5"/>
        <v>75500916</v>
      </c>
      <c r="L26" s="4">
        <f t="shared" si="6"/>
        <v>108786857</v>
      </c>
      <c r="M26" s="4">
        <f t="shared" si="7"/>
        <v>-33285941</v>
      </c>
      <c r="N26" s="4">
        <f t="shared" si="19"/>
        <v>0</v>
      </c>
      <c r="O26" s="4">
        <f t="shared" si="9"/>
        <v>0</v>
      </c>
      <c r="P26" s="4">
        <f t="shared" si="34"/>
        <v>69179924</v>
      </c>
      <c r="Q26" s="4">
        <f t="shared" si="35"/>
        <v>101448671</v>
      </c>
      <c r="R26" s="4">
        <f t="shared" si="11"/>
        <v>-32268747</v>
      </c>
      <c r="S26" s="4">
        <f t="shared" si="12"/>
        <v>48135055</v>
      </c>
      <c r="T26" s="4">
        <f t="shared" si="13"/>
        <v>69179924</v>
      </c>
      <c r="U26" s="4">
        <f t="shared" si="14"/>
        <v>101448671</v>
      </c>
      <c r="V26" s="4">
        <f t="shared" si="15"/>
        <v>-32268747</v>
      </c>
      <c r="W26" s="4">
        <v>0</v>
      </c>
      <c r="X26" s="4">
        <f>35545641+33616536</f>
        <v>69162177</v>
      </c>
      <c r="Y26" s="4">
        <v>0</v>
      </c>
      <c r="Z26" s="4">
        <v>0</v>
      </c>
      <c r="AA26" s="4">
        <v>0</v>
      </c>
      <c r="AB26" s="4">
        <f>-30000000-20000000-20000000+30000000+20000000+20000000-200000+200000</f>
        <v>0</v>
      </c>
      <c r="AC26" s="4">
        <f>6313+5014+27+2+84+6307</f>
        <v>17747</v>
      </c>
      <c r="AD26" s="4">
        <v>0</v>
      </c>
      <c r="AE26" s="4">
        <f>165000</f>
        <v>165000</v>
      </c>
      <c r="AF26" s="4">
        <v>10500000</v>
      </c>
      <c r="AG26" s="4">
        <v>0</v>
      </c>
      <c r="AH26" s="4">
        <f>1705000+1760000*2+1650000+3520000+1100000+550000*4+600000</f>
        <v>14295000</v>
      </c>
      <c r="AI26" s="4">
        <f>180000+32044080+16505670+6006860+1861990+200000+700000+640000</f>
        <v>58138600</v>
      </c>
      <c r="AJ26" s="4">
        <v>0</v>
      </c>
      <c r="AK26" s="4">
        <f>2862200+6545000</f>
        <v>9407200</v>
      </c>
      <c r="AL26" s="4">
        <f>81520</f>
        <v>81520</v>
      </c>
      <c r="AM26" s="4">
        <f>1606380+1722550+55200</f>
        <v>3384130</v>
      </c>
      <c r="AN26" s="4">
        <f>-33000+37000+90000+90000+37000</f>
        <v>221000</v>
      </c>
      <c r="AO26" s="4">
        <f>600000</f>
        <v>600000</v>
      </c>
      <c r="AP26" s="4">
        <v>0</v>
      </c>
      <c r="AQ26" s="4">
        <v>1100000</v>
      </c>
      <c r="AR26" s="4">
        <v>0</v>
      </c>
      <c r="AS26" s="4">
        <f>1772670</f>
        <v>1772670</v>
      </c>
      <c r="AT26" s="4">
        <f>29508+61967+292636</f>
        <v>384111</v>
      </c>
      <c r="AU26" s="4">
        <v>0</v>
      </c>
      <c r="AV26" s="4">
        <f>4400+35210+22000+41800+22000+770000+4400+250750+5000+160600+14000+47280+22000</f>
        <v>1399440</v>
      </c>
      <c r="AW26" s="4">
        <f t="shared" si="36"/>
        <v>6388192</v>
      </c>
      <c r="AX26" s="4">
        <f t="shared" si="3"/>
        <v>7338186</v>
      </c>
      <c r="AY26" s="4">
        <f t="shared" si="37"/>
        <v>8387120</v>
      </c>
      <c r="AZ26" s="4">
        <v>0</v>
      </c>
      <c r="BA26" s="4">
        <f>5912705+254979+220294</f>
        <v>6387978</v>
      </c>
      <c r="BB26" s="4">
        <v>0</v>
      </c>
      <c r="BC26" s="4">
        <v>0</v>
      </c>
      <c r="BD26" s="4">
        <v>0</v>
      </c>
      <c r="BE26" s="4">
        <v>214</v>
      </c>
      <c r="BF26" s="4">
        <f>67200</f>
        <v>67200</v>
      </c>
      <c r="BG26" s="4">
        <v>0</v>
      </c>
      <c r="BH26" s="4">
        <v>0</v>
      </c>
      <c r="BI26" s="4">
        <v>0</v>
      </c>
      <c r="BJ26" s="4">
        <v>0</v>
      </c>
      <c r="BK26" s="4">
        <f>985500+614000+35000+1753000+1885000+770000+173600+160500+78000+90000+78000+117040+494000</f>
        <v>7233640</v>
      </c>
      <c r="BL26" s="4">
        <v>0</v>
      </c>
      <c r="BM26" s="4">
        <v>0</v>
      </c>
      <c r="BN26" s="4">
        <f>37346</f>
        <v>37346</v>
      </c>
      <c r="BO26" s="4">
        <v>0</v>
      </c>
    </row>
    <row r="27" spans="1:67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32"/>
        <v>102567167</v>
      </c>
      <c r="I27" s="4">
        <f t="shared" si="4"/>
        <v>-36755779</v>
      </c>
      <c r="J27" s="4">
        <f t="shared" si="33"/>
        <v>19766396</v>
      </c>
      <c r="K27" s="4">
        <f t="shared" si="5"/>
        <v>65603313</v>
      </c>
      <c r="L27" s="4">
        <f t="shared" si="6"/>
        <v>102567167</v>
      </c>
      <c r="M27" s="4">
        <f t="shared" si="7"/>
        <v>-36963854</v>
      </c>
      <c r="N27" s="4">
        <f t="shared" si="19"/>
        <v>0</v>
      </c>
      <c r="O27" s="4">
        <f t="shared" si="9"/>
        <v>0</v>
      </c>
      <c r="P27" s="4">
        <f t="shared" si="34"/>
        <v>61433824</v>
      </c>
      <c r="Q27" s="4">
        <f t="shared" si="35"/>
        <v>92303875</v>
      </c>
      <c r="R27" s="4">
        <f t="shared" si="11"/>
        <v>-30870051</v>
      </c>
      <c r="S27" s="4">
        <f t="shared" si="12"/>
        <v>17265004</v>
      </c>
      <c r="T27" s="4">
        <f t="shared" si="13"/>
        <v>61433824</v>
      </c>
      <c r="U27" s="4">
        <f t="shared" si="14"/>
        <v>92303875</v>
      </c>
      <c r="V27" s="4">
        <f t="shared" si="15"/>
        <v>-30870051</v>
      </c>
      <c r="W27" s="4">
        <v>0</v>
      </c>
      <c r="X27" s="4">
        <f>61434824</f>
        <v>61434824</v>
      </c>
      <c r="Y27" s="4">
        <v>0</v>
      </c>
      <c r="Z27" s="4">
        <v>0</v>
      </c>
      <c r="AA27" s="4">
        <v>0</v>
      </c>
      <c r="AB27" s="4">
        <f>-30000000-8000000-4000000-20000000+30000000+8000000+10000000+6000000+4000000+20000000-10000500-6000500</f>
        <v>-1000</v>
      </c>
      <c r="AC27" s="4">
        <v>0</v>
      </c>
      <c r="AD27" s="4">
        <v>0</v>
      </c>
      <c r="AE27" s="4">
        <f>165000</f>
        <v>165000</v>
      </c>
      <c r="AF27" s="4">
        <v>0</v>
      </c>
      <c r="AG27" s="4">
        <v>0</v>
      </c>
      <c r="AH27" s="4">
        <f>1760000*2+1705000*2+550000*4+600000</f>
        <v>9730000</v>
      </c>
      <c r="AI27" s="4">
        <f>400000+240000+52001070+3787600+773600+2417500+240000+700000+400000+200000</f>
        <v>61159770</v>
      </c>
      <c r="AJ27" s="4">
        <f>100000+3155075</f>
        <v>3255075</v>
      </c>
      <c r="AK27" s="4">
        <f>6606600+6333800</f>
        <v>12940400</v>
      </c>
      <c r="AL27" s="4">
        <f>768710+25040</f>
        <v>793750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f>1346750</f>
        <v>1346750</v>
      </c>
      <c r="AT27" s="4">
        <f>88524+283196</f>
        <v>371720</v>
      </c>
      <c r="AU27" s="4">
        <v>0</v>
      </c>
      <c r="AV27" s="4">
        <f>35210+22000+41800+22000+250750+160600+15120+46930+22000+1925000</f>
        <v>2541410</v>
      </c>
      <c r="AW27" s="4">
        <f t="shared" si="36"/>
        <v>4377564</v>
      </c>
      <c r="AX27" s="4">
        <f t="shared" si="3"/>
        <v>10263292</v>
      </c>
      <c r="AY27" s="4">
        <f t="shared" si="37"/>
        <v>2501392</v>
      </c>
      <c r="AZ27" s="4">
        <v>0</v>
      </c>
      <c r="BA27" s="4">
        <f>228174+194185+3875054</f>
        <v>4297413</v>
      </c>
      <c r="BB27" s="4">
        <v>0</v>
      </c>
      <c r="BC27" s="4">
        <v>0</v>
      </c>
      <c r="BD27" s="4">
        <v>0</v>
      </c>
      <c r="BE27" s="4">
        <f>32751+19900+27500</f>
        <v>80151</v>
      </c>
      <c r="BF27" s="4">
        <f>-50000+149625+109450</f>
        <v>209075</v>
      </c>
      <c r="BG27" s="4">
        <v>0</v>
      </c>
      <c r="BH27" s="4">
        <v>0</v>
      </c>
      <c r="BI27" s="4">
        <v>0</v>
      </c>
      <c r="BJ27" s="4">
        <v>0</v>
      </c>
      <c r="BK27" s="4">
        <f>120000+1763000+150000+537600+481000+24000+1159000+35000+1726000+102000+1726000+1013500+15000+35000+619000</f>
        <v>9506100</v>
      </c>
      <c r="BL27" s="4">
        <v>0</v>
      </c>
      <c r="BM27" s="4">
        <v>0</v>
      </c>
      <c r="BN27" s="4">
        <v>0</v>
      </c>
      <c r="BO27" s="4">
        <f>178217+77100+283000+9800</f>
        <v>548117</v>
      </c>
    </row>
    <row r="28" spans="1:67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32"/>
        <v>86456767</v>
      </c>
      <c r="I28" s="4">
        <f t="shared" si="4"/>
        <v>11737098</v>
      </c>
      <c r="J28" s="4">
        <f t="shared" si="33"/>
        <v>31503494</v>
      </c>
      <c r="K28" s="4">
        <f t="shared" si="5"/>
        <v>86923750</v>
      </c>
      <c r="L28" s="4">
        <f t="shared" si="6"/>
        <v>86456767</v>
      </c>
      <c r="M28" s="4">
        <f t="shared" si="7"/>
        <v>466983</v>
      </c>
      <c r="N28" s="4">
        <f t="shared" si="19"/>
        <v>10000000</v>
      </c>
      <c r="O28" s="4">
        <f t="shared" si="9"/>
        <v>0</v>
      </c>
      <c r="P28" s="4">
        <f t="shared" si="34"/>
        <v>89778394</v>
      </c>
      <c r="Q28" s="4">
        <f t="shared" si="35"/>
        <v>85181327</v>
      </c>
      <c r="R28" s="4">
        <f t="shared" si="11"/>
        <v>4597067</v>
      </c>
      <c r="S28" s="4">
        <f t="shared" si="12"/>
        <v>21862071</v>
      </c>
      <c r="T28" s="4">
        <f t="shared" si="13"/>
        <v>79778394</v>
      </c>
      <c r="U28" s="4">
        <f t="shared" si="14"/>
        <v>85181327</v>
      </c>
      <c r="V28" s="4">
        <f t="shared" si="15"/>
        <v>-5402933</v>
      </c>
      <c r="W28" s="4">
        <v>0</v>
      </c>
      <c r="X28" s="4">
        <f>48102613+28076281</f>
        <v>76178894</v>
      </c>
      <c r="Y28" s="4">
        <f>9000000+1000000</f>
        <v>10000000</v>
      </c>
      <c r="Z28" s="4">
        <v>0</v>
      </c>
      <c r="AA28" s="4">
        <v>0</v>
      </c>
      <c r="AB28" s="4">
        <f>2000000-7700000-26000000-3000000-5000000-7000000-29000000+7700000+26000000+8000000+3000000+5000000+7000000+29000000-200000-2000000+200000-8000500</f>
        <v>-500</v>
      </c>
      <c r="AC28" s="4">
        <v>3600000</v>
      </c>
      <c r="AD28" s="4">
        <f>1270615</f>
        <v>1270615</v>
      </c>
      <c r="AE28" s="4">
        <f>165000</f>
        <v>165000</v>
      </c>
      <c r="AF28" s="4">
        <v>0</v>
      </c>
      <c r="AG28" s="4">
        <v>5000000</v>
      </c>
      <c r="AH28" s="4">
        <f>550000+1650000+3520000+1100000+1320000*2+1705000+1650000+3520000+1100000+550000+600000+550000*2</f>
        <v>19685000</v>
      </c>
      <c r="AI28" s="4">
        <f>522540+266960+48914742+514708+66750</f>
        <v>50285700</v>
      </c>
      <c r="AJ28" s="4">
        <v>0</v>
      </c>
      <c r="AK28" s="4">
        <v>0</v>
      </c>
      <c r="AL28" s="4">
        <f>1007610+282250+134990</f>
        <v>1424850</v>
      </c>
      <c r="AM28" s="4">
        <f>84460+2234620+2110660+79440</f>
        <v>4509180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f>1219160+509422</f>
        <v>1728582</v>
      </c>
      <c r="AT28" s="4">
        <f>91475+290095</f>
        <v>381570</v>
      </c>
      <c r="AU28" s="4">
        <v>0</v>
      </c>
      <c r="AV28" s="4">
        <f>35210+85800+250750+160600+102070+14300+60100+22000</f>
        <v>730830</v>
      </c>
      <c r="AW28" s="4">
        <f t="shared" si="36"/>
        <v>8415471</v>
      </c>
      <c r="AX28" s="4">
        <f t="shared" si="3"/>
        <v>1275440</v>
      </c>
      <c r="AY28" s="4">
        <f t="shared" si="37"/>
        <v>9641423</v>
      </c>
      <c r="AZ28" s="4">
        <v>0</v>
      </c>
      <c r="BA28" s="4">
        <f>2938257+5025477+227816+223886</f>
        <v>8415436</v>
      </c>
      <c r="BB28" s="4">
        <v>0</v>
      </c>
      <c r="BC28" s="4">
        <v>0</v>
      </c>
      <c r="BD28" s="4">
        <v>0</v>
      </c>
      <c r="BE28" s="4">
        <v>35</v>
      </c>
      <c r="BF28" s="4">
        <v>0</v>
      </c>
      <c r="BG28" s="4">
        <v>0</v>
      </c>
      <c r="BH28" s="4">
        <v>0</v>
      </c>
      <c r="BI28" s="4">
        <v>0</v>
      </c>
      <c r="BJ28" s="4">
        <f>55000</f>
        <v>55000</v>
      </c>
      <c r="BK28" s="4">
        <f>-1726000+972000+203400+89000+364000+992840+91200+78000+149300</f>
        <v>1213740</v>
      </c>
      <c r="BL28" s="4">
        <v>0</v>
      </c>
      <c r="BM28" s="4">
        <v>0</v>
      </c>
      <c r="BN28" s="4">
        <f>6700</f>
        <v>6700</v>
      </c>
      <c r="BO28" s="4">
        <v>0</v>
      </c>
    </row>
    <row r="29" spans="1:67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32"/>
        <v>99474595</v>
      </c>
      <c r="I29" s="4">
        <f t="shared" si="4"/>
        <v>-15972405</v>
      </c>
      <c r="J29" s="4">
        <f t="shared" si="33"/>
        <v>15531089</v>
      </c>
      <c r="K29" s="4">
        <f t="shared" si="5"/>
        <v>84896720</v>
      </c>
      <c r="L29" s="4">
        <f t="shared" si="6"/>
        <v>99474595</v>
      </c>
      <c r="M29" s="4">
        <f t="shared" si="7"/>
        <v>-14577875</v>
      </c>
      <c r="N29" s="4">
        <f t="shared" si="19"/>
        <v>-1500000</v>
      </c>
      <c r="O29" s="4">
        <f t="shared" si="9"/>
        <v>0</v>
      </c>
      <c r="P29" s="4">
        <f t="shared" si="34"/>
        <v>84433284</v>
      </c>
      <c r="Q29" s="4">
        <f t="shared" si="35"/>
        <v>92353150</v>
      </c>
      <c r="R29" s="4">
        <f t="shared" si="11"/>
        <v>-7919866</v>
      </c>
      <c r="S29" s="4">
        <f t="shared" si="12"/>
        <v>13942205</v>
      </c>
      <c r="T29" s="4">
        <f t="shared" si="13"/>
        <v>78433284</v>
      </c>
      <c r="U29" s="4">
        <f t="shared" si="14"/>
        <v>92353150</v>
      </c>
      <c r="V29" s="4">
        <f t="shared" si="15"/>
        <v>-13919866</v>
      </c>
      <c r="W29" s="4">
        <v>0</v>
      </c>
      <c r="X29" s="4">
        <f>11821338+46516676+18895270</f>
        <v>77233284</v>
      </c>
      <c r="Y29" s="4">
        <f>150000-150000+6000000</f>
        <v>6000000</v>
      </c>
      <c r="Z29" s="4">
        <v>0</v>
      </c>
      <c r="AA29" s="4">
        <v>0</v>
      </c>
      <c r="AB29" s="4">
        <f>-50000000-11000000-1200000-8000000+50000000+11000000+1200000+8000000</f>
        <v>0</v>
      </c>
      <c r="AC29" s="4">
        <v>1200000</v>
      </c>
      <c r="AD29" s="4">
        <v>0</v>
      </c>
      <c r="AE29" s="4">
        <f>264000+140000+165000</f>
        <v>569000</v>
      </c>
      <c r="AF29" s="4">
        <v>0</v>
      </c>
      <c r="AG29" s="4">
        <f>-5000000</f>
        <v>-5000000</v>
      </c>
      <c r="AH29" s="4">
        <f>-570+1320000*2+1705000+1650000+3520000+1100000</f>
        <v>10614430</v>
      </c>
      <c r="AI29" s="4">
        <f>-50000+700000+640000+200000+400000+240000+527181+34180939+7217140+689393+640000+10153840+1100000+309880+1879887+120000</f>
        <v>58948260</v>
      </c>
      <c r="AJ29" s="4">
        <v>5185406</v>
      </c>
      <c r="AK29" s="4">
        <f>6892600+6534000</f>
        <v>13426600</v>
      </c>
      <c r="AL29" s="4">
        <f>837640</f>
        <v>837640</v>
      </c>
      <c r="AM29" s="4">
        <f>217300</f>
        <v>217300</v>
      </c>
      <c r="AN29" s="4">
        <f>112000+177000+2519000</f>
        <v>2808000</v>
      </c>
      <c r="AO29" s="4">
        <v>0</v>
      </c>
      <c r="AP29" s="4">
        <v>0</v>
      </c>
      <c r="AQ29" s="4">
        <v>1100000</v>
      </c>
      <c r="AR29" s="4">
        <v>0</v>
      </c>
      <c r="AS29" s="4">
        <f>2229175</f>
        <v>2229175</v>
      </c>
      <c r="AT29" s="4">
        <f>88934+290095</f>
        <v>379029</v>
      </c>
      <c r="AU29" s="4">
        <v>0</v>
      </c>
      <c r="AV29" s="4">
        <f>35210+22000+41800+22000+385000+250750+160600+21400+77550+22000</f>
        <v>1038310</v>
      </c>
      <c r="AW29" s="4">
        <f t="shared" si="36"/>
        <v>-931094</v>
      </c>
      <c r="AX29" s="4">
        <f t="shared" si="3"/>
        <v>7121445</v>
      </c>
      <c r="AY29" s="4">
        <f t="shared" si="37"/>
        <v>1588884</v>
      </c>
      <c r="AZ29" s="4">
        <f>-2500000-3000000-2000000</f>
        <v>-7500000</v>
      </c>
      <c r="BA29" s="4">
        <f>1097985+197359+5273218</f>
        <v>6568562</v>
      </c>
      <c r="BB29" s="4">
        <v>0</v>
      </c>
      <c r="BC29" s="4">
        <v>0</v>
      </c>
      <c r="BD29" s="4">
        <v>0</v>
      </c>
      <c r="BE29" s="4">
        <v>344</v>
      </c>
      <c r="BF29" s="4">
        <f>105470</f>
        <v>105470</v>
      </c>
      <c r="BG29" s="4">
        <v>0</v>
      </c>
      <c r="BH29" s="4">
        <v>0</v>
      </c>
      <c r="BI29" s="4">
        <v>0</v>
      </c>
      <c r="BJ29" s="4">
        <v>0</v>
      </c>
      <c r="BK29" s="4">
        <f>135000+819000+1647800+1056000+884000+90000+416000+35000+177650+1568000+9775+177750</f>
        <v>7015975</v>
      </c>
      <c r="BL29" s="4">
        <v>0</v>
      </c>
      <c r="BM29" s="4">
        <v>0</v>
      </c>
      <c r="BN29" s="4">
        <v>0</v>
      </c>
      <c r="BO29" s="4">
        <v>0</v>
      </c>
    </row>
    <row r="30" spans="1:67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32"/>
        <v>76505117</v>
      </c>
      <c r="I30" s="4">
        <f t="shared" si="4"/>
        <v>15058897</v>
      </c>
      <c r="J30" s="4">
        <f t="shared" si="33"/>
        <v>30589986</v>
      </c>
      <c r="K30" s="4">
        <f t="shared" si="5"/>
        <v>86214014</v>
      </c>
      <c r="L30" s="4">
        <f t="shared" si="6"/>
        <v>76505117</v>
      </c>
      <c r="M30" s="4">
        <f t="shared" si="7"/>
        <v>9708897</v>
      </c>
      <c r="N30" s="4">
        <f t="shared" si="19"/>
        <v>5350000</v>
      </c>
      <c r="O30" s="4">
        <f t="shared" si="9"/>
        <v>0</v>
      </c>
      <c r="P30" s="4">
        <f t="shared" si="34"/>
        <v>82176482</v>
      </c>
      <c r="Q30" s="4">
        <f t="shared" si="35"/>
        <v>69547277</v>
      </c>
      <c r="R30" s="4">
        <f t="shared" si="11"/>
        <v>12629205</v>
      </c>
      <c r="S30" s="4">
        <f t="shared" si="12"/>
        <v>26571410</v>
      </c>
      <c r="T30" s="4">
        <f t="shared" si="13"/>
        <v>79776482</v>
      </c>
      <c r="U30" s="4">
        <f t="shared" si="14"/>
        <v>69547277</v>
      </c>
      <c r="V30" s="4">
        <f t="shared" si="15"/>
        <v>10229205</v>
      </c>
      <c r="W30" s="4">
        <v>0</v>
      </c>
      <c r="X30" s="4">
        <f>38835385+1638845+2110050+19977573+11814629</f>
        <v>74376482</v>
      </c>
      <c r="Y30" s="4">
        <f>5000000+200000-1700000-1100000</f>
        <v>2400000</v>
      </c>
      <c r="Z30" s="4">
        <v>0</v>
      </c>
      <c r="AA30" s="4">
        <v>0</v>
      </c>
      <c r="AB30" s="4">
        <f>-16000000-32000000-1450000-5000000-200000-800000-4000000-1940000-5000000-28000000+16000000+32000000+1450000+5000000+200000+800000+4000000+1940000+5000000+28000000</f>
        <v>0</v>
      </c>
      <c r="AC30" s="4">
        <f>3600000+1800000</f>
        <v>5400000</v>
      </c>
      <c r="AD30" s="4">
        <v>0</v>
      </c>
      <c r="AE30" s="4">
        <f>165000</f>
        <v>165000</v>
      </c>
      <c r="AF30" s="4">
        <v>0</v>
      </c>
      <c r="AG30" s="4">
        <v>0</v>
      </c>
      <c r="AH30" s="4">
        <f>550000*3+600000+550000+2640000+1705000</f>
        <v>7145000</v>
      </c>
      <c r="AI30" s="4">
        <f>200000+700000+640000+400000+44510243+5022280+1100000</f>
        <v>52572523</v>
      </c>
      <c r="AJ30" s="4">
        <v>0</v>
      </c>
      <c r="AK30" s="4">
        <v>5238200</v>
      </c>
      <c r="AL30" s="4">
        <f>943400</f>
        <v>943400</v>
      </c>
      <c r="AM30" s="4">
        <f>2220590+98540</f>
        <v>2319130</v>
      </c>
      <c r="AN30" s="4">
        <v>0</v>
      </c>
      <c r="AO30" s="4">
        <v>0</v>
      </c>
      <c r="AP30" s="4">
        <v>0</v>
      </c>
      <c r="AQ30" s="4">
        <f>-3500000+1100000</f>
        <v>-2400000</v>
      </c>
      <c r="AR30" s="4">
        <v>25000</v>
      </c>
      <c r="AS30" s="4">
        <f>2404975</f>
        <v>2404975</v>
      </c>
      <c r="AT30" s="4">
        <f>68852+280737</f>
        <v>349589</v>
      </c>
      <c r="AU30" s="4">
        <v>0</v>
      </c>
      <c r="AV30" s="4">
        <f>4400+35210+44400+19060+41800+140170+250750+160600+16190+49880+22000</f>
        <v>784460</v>
      </c>
      <c r="AW30" s="4">
        <f t="shared" si="36"/>
        <v>9387532</v>
      </c>
      <c r="AX30" s="4">
        <f t="shared" si="3"/>
        <v>6957840</v>
      </c>
      <c r="AY30" s="4">
        <f t="shared" si="37"/>
        <v>4018576</v>
      </c>
      <c r="AZ30" s="4">
        <f>200000+1200000+40000+810000+500000+200000</f>
        <v>2950000</v>
      </c>
      <c r="BA30" s="4">
        <f>2628280+224584+47780+50000+2085973+1400915</f>
        <v>6437532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f>468000+1373000+66500+75240+810000+3100+479000+175000</f>
        <v>3449840</v>
      </c>
      <c r="BL30" s="4">
        <v>3500000</v>
      </c>
      <c r="BM30" s="5">
        <f>8000</f>
        <v>8000</v>
      </c>
      <c r="BN30" s="4">
        <v>0</v>
      </c>
      <c r="BO30" s="4">
        <v>0</v>
      </c>
    </row>
    <row r="31" spans="1:67">
      <c r="A31">
        <v>2024</v>
      </c>
      <c r="B31">
        <v>11</v>
      </c>
      <c r="G31" s="4">
        <f t="shared" si="0"/>
        <v>103654630</v>
      </c>
      <c r="H31" s="4">
        <f t="shared" si="32"/>
        <v>95426815</v>
      </c>
      <c r="I31" s="4">
        <f t="shared" si="4"/>
        <v>8227815</v>
      </c>
      <c r="J31" s="4">
        <f t="shared" si="33"/>
        <v>38817801</v>
      </c>
      <c r="K31" s="4">
        <f t="shared" si="5"/>
        <v>93588832</v>
      </c>
      <c r="L31" s="4">
        <f t="shared" si="6"/>
        <v>95426815</v>
      </c>
      <c r="M31" s="4">
        <f t="shared" si="7"/>
        <v>-1837983</v>
      </c>
      <c r="N31" s="4">
        <f t="shared" si="19"/>
        <v>8500000</v>
      </c>
      <c r="O31" s="4">
        <f t="shared" si="9"/>
        <v>0</v>
      </c>
      <c r="P31" s="4">
        <f t="shared" si="34"/>
        <v>98652268</v>
      </c>
      <c r="Q31" s="4">
        <f t="shared" si="35"/>
        <v>90728321</v>
      </c>
      <c r="R31" s="4">
        <f t="shared" si="11"/>
        <v>7923947</v>
      </c>
      <c r="S31" s="4">
        <f t="shared" si="12"/>
        <v>34495357</v>
      </c>
      <c r="T31" s="4">
        <f t="shared" si="13"/>
        <v>87352268</v>
      </c>
      <c r="U31" s="4">
        <f t="shared" si="14"/>
        <v>90728321</v>
      </c>
      <c r="V31" s="4">
        <f t="shared" si="15"/>
        <v>-3376053</v>
      </c>
      <c r="W31" s="4">
        <v>0</v>
      </c>
      <c r="X31" s="4">
        <f>30260724+168000+5345879+10481986+37495679</f>
        <v>83752268</v>
      </c>
      <c r="Y31" s="4">
        <f>5000000+4000000+2200000+100000</f>
        <v>11300000</v>
      </c>
      <c r="Z31" s="4">
        <v>0</v>
      </c>
      <c r="AA31" s="4">
        <v>0</v>
      </c>
      <c r="AB31" s="4">
        <f>-32000000-5000000-4200000-5000000-2600000-9000000-11000000+32000000+5000000+4200000+5000000+2600000+9000000+11000000-100000+100000+300000-300000</f>
        <v>0</v>
      </c>
      <c r="AC31" s="4">
        <f>3600000</f>
        <v>3600000</v>
      </c>
      <c r="AD31" s="4">
        <f>278898+1170000+116900</f>
        <v>1565798</v>
      </c>
      <c r="AE31" s="4">
        <f>165000</f>
        <v>165000</v>
      </c>
      <c r="AF31" s="4">
        <v>0</v>
      </c>
      <c r="AG31" s="4">
        <v>0</v>
      </c>
      <c r="AH31" s="4">
        <f>1650000+3520000+1100000+550000*3+600000+2640000+1705000+1650000+3520000+1100000+550000*2</f>
        <v>20235000</v>
      </c>
      <c r="AI31" s="4">
        <f>700000+640000+150000+400000+44733850+5572140+1063700</f>
        <v>53259690</v>
      </c>
      <c r="AJ31" s="4">
        <v>4177120</v>
      </c>
      <c r="AK31" s="4">
        <v>5995000</v>
      </c>
      <c r="AL31" s="4">
        <f>709400</f>
        <v>709400</v>
      </c>
      <c r="AM31" s="4">
        <f>96200+2163240</f>
        <v>2259440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f>1320742</f>
        <v>1320742</v>
      </c>
      <c r="AT31" s="4">
        <f>17213+279084+88934</f>
        <v>385231</v>
      </c>
      <c r="AU31" s="4">
        <v>0</v>
      </c>
      <c r="AV31" s="4">
        <f>35210+22000*2+41800+250750+160600+19780+81760+22000</f>
        <v>655900</v>
      </c>
      <c r="AW31" s="4">
        <f t="shared" si="36"/>
        <v>5002362</v>
      </c>
      <c r="AX31" s="4">
        <f t="shared" si="3"/>
        <v>4698494</v>
      </c>
      <c r="AY31" s="4">
        <f t="shared" si="37"/>
        <v>4322444</v>
      </c>
      <c r="AZ31" s="4">
        <f>-2300000+200000-700000</f>
        <v>-2800000</v>
      </c>
      <c r="BA31" s="4">
        <f>858937+3014443+3928982</f>
        <v>7802362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5">
        <f>25000+201600+638000+949000+446050+247650+1331000+156000+249000+413150</f>
        <v>4656450</v>
      </c>
      <c r="BL31" s="4">
        <v>0</v>
      </c>
      <c r="BM31" s="4">
        <v>0</v>
      </c>
      <c r="BN31" s="4">
        <v>28644</v>
      </c>
      <c r="BO31" s="5">
        <f>13400</f>
        <v>13400</v>
      </c>
    </row>
    <row r="32" spans="1:67">
      <c r="A32">
        <v>2024</v>
      </c>
      <c r="B32">
        <v>12</v>
      </c>
      <c r="G32" s="4">
        <f t="shared" si="0"/>
        <v>72408586</v>
      </c>
      <c r="H32" s="4">
        <f t="shared" si="32"/>
        <v>77803150</v>
      </c>
      <c r="I32" s="4">
        <f t="shared" si="4"/>
        <v>-5394564</v>
      </c>
      <c r="J32" s="4">
        <f t="shared" si="33"/>
        <v>33423237</v>
      </c>
      <c r="K32" s="4">
        <f t="shared" si="5"/>
        <v>63430886</v>
      </c>
      <c r="L32" s="4">
        <f t="shared" si="6"/>
        <v>77803150</v>
      </c>
      <c r="M32" s="4">
        <f t="shared" si="7"/>
        <v>-14372264</v>
      </c>
      <c r="N32" s="4">
        <f t="shared" si="19"/>
        <v>0</v>
      </c>
      <c r="O32" s="4">
        <f t="shared" si="9"/>
        <v>0</v>
      </c>
      <c r="P32" s="4">
        <f t="shared" si="34"/>
        <v>66496333</v>
      </c>
      <c r="Q32" s="4">
        <f t="shared" si="35"/>
        <v>72646203</v>
      </c>
      <c r="R32" s="4">
        <f t="shared" si="11"/>
        <v>-6149870</v>
      </c>
      <c r="S32" s="4">
        <f t="shared" si="12"/>
        <v>28345487</v>
      </c>
      <c r="T32" s="4">
        <f t="shared" si="13"/>
        <v>66496333</v>
      </c>
      <c r="U32" s="4">
        <f t="shared" si="14"/>
        <v>72646203</v>
      </c>
      <c r="V32" s="4">
        <f t="shared" si="15"/>
        <v>-6149870</v>
      </c>
      <c r="W32" s="4">
        <v>0</v>
      </c>
      <c r="X32" s="4">
        <f>43532639+3985842+2147935+15618448</f>
        <v>65284864</v>
      </c>
      <c r="Y32" s="4">
        <v>0</v>
      </c>
      <c r="Z32" s="4">
        <v>0</v>
      </c>
      <c r="AA32" s="4">
        <v>0</v>
      </c>
      <c r="AB32" s="4">
        <f>3000000-34000000-30000000-15000000-10000000+34000000+30000000+15000000+10000000-3000000</f>
        <v>0</v>
      </c>
      <c r="AC32" s="4">
        <f>5160+1200000+3433+43+1+405+2427</f>
        <v>1211469</v>
      </c>
      <c r="AD32" s="4">
        <f>1170000+1170000+168000+2340000+1070000+163700+1170000+252000+1170000</f>
        <v>8673700</v>
      </c>
      <c r="AE32" s="4">
        <f>165000</f>
        <v>165000</v>
      </c>
      <c r="AF32" s="4">
        <f>-5000000-5000000-700000</f>
        <v>-10700000</v>
      </c>
      <c r="AG32" s="4">
        <v>0</v>
      </c>
      <c r="AH32" s="4">
        <f>550000+550000+600000+550000+2640000+1705000+3520000+652500+550000+550000+660000+1650000+1100000</f>
        <v>15277500</v>
      </c>
      <c r="AI32" s="4">
        <f>700000+640000+200000+400000+45593830+5548800</f>
        <v>53082630</v>
      </c>
      <c r="AJ32" s="4">
        <v>0</v>
      </c>
      <c r="AK32" s="4">
        <v>0</v>
      </c>
      <c r="AL32" s="4">
        <f>1052250</f>
        <v>1052250</v>
      </c>
      <c r="AM32" s="4">
        <f>1762490+65300</f>
        <v>1827790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f>541987+1315835</f>
        <v>1857822</v>
      </c>
      <c r="AT32" s="4">
        <f>84590+270081</f>
        <v>354671</v>
      </c>
      <c r="AU32" s="4">
        <v>0</v>
      </c>
      <c r="AV32" s="4">
        <f>121010+4400+385000+250750+160600+33900+77180+22000</f>
        <v>1054840</v>
      </c>
      <c r="AW32" s="4">
        <f t="shared" si="36"/>
        <v>5912253</v>
      </c>
      <c r="AX32" s="4">
        <f t="shared" si="3"/>
        <v>5156947</v>
      </c>
      <c r="AY32" s="4">
        <f t="shared" si="37"/>
        <v>5077750</v>
      </c>
      <c r="AZ32" s="4">
        <v>0</v>
      </c>
      <c r="BA32" s="4">
        <f>3304702+1044547+1561316</f>
        <v>5910565</v>
      </c>
      <c r="BB32" s="4">
        <v>0</v>
      </c>
      <c r="BC32" s="4">
        <v>0</v>
      </c>
      <c r="BD32" s="4">
        <v>0</v>
      </c>
      <c r="BE32" s="4">
        <f>1418+270</f>
        <v>1688</v>
      </c>
      <c r="BF32" s="4">
        <f>12000+292000</f>
        <v>304000</v>
      </c>
      <c r="BG32" s="5">
        <f>1400000</f>
        <v>1400000</v>
      </c>
      <c r="BH32" s="4">
        <v>0</v>
      </c>
      <c r="BI32" s="4">
        <v>0</v>
      </c>
      <c r="BJ32" s="4">
        <v>0</v>
      </c>
      <c r="BK32" s="4">
        <f>1373000+1017000+149000+48000+837000</f>
        <v>3424000</v>
      </c>
      <c r="BL32" s="4">
        <v>0</v>
      </c>
      <c r="BM32" s="4">
        <v>0</v>
      </c>
      <c r="BN32" s="4">
        <v>28947</v>
      </c>
      <c r="BO32" s="4">
        <v>0</v>
      </c>
    </row>
    <row r="33" spans="1:67">
      <c r="A33">
        <v>2025</v>
      </c>
      <c r="B33">
        <v>1</v>
      </c>
      <c r="C33">
        <v>38</v>
      </c>
      <c r="D33">
        <f t="shared" ref="D33:D34" si="38">D32</f>
        <v>0</v>
      </c>
      <c r="E33">
        <v>20</v>
      </c>
      <c r="F33">
        <v>40</v>
      </c>
      <c r="G33" s="4">
        <f t="shared" si="0"/>
        <v>71326198</v>
      </c>
      <c r="H33" s="4">
        <f t="shared" ref="H33" si="39">Q33+AX33</f>
        <v>83321959</v>
      </c>
      <c r="I33" s="4">
        <f t="shared" si="4"/>
        <v>-11995761</v>
      </c>
      <c r="J33" s="4">
        <f t="shared" ref="J33" si="40">J32+G33-H33</f>
        <v>21427476</v>
      </c>
      <c r="K33" s="4">
        <f t="shared" si="5"/>
        <v>63320046</v>
      </c>
      <c r="L33" s="4">
        <f t="shared" si="6"/>
        <v>83321959</v>
      </c>
      <c r="M33" s="4">
        <f t="shared" si="7"/>
        <v>-20001913</v>
      </c>
      <c r="N33" s="4">
        <f t="shared" si="19"/>
        <v>7000000</v>
      </c>
      <c r="O33" s="4">
        <f t="shared" si="9"/>
        <v>0</v>
      </c>
      <c r="P33" s="4">
        <f t="shared" ref="P33" si="41">SUM(W33:AC33)</f>
        <v>59921390</v>
      </c>
      <c r="Q33" s="4">
        <f t="shared" ref="Q33" si="42">SUM(AD33:AV33)</f>
        <v>77644685</v>
      </c>
      <c r="R33" s="4">
        <f t="shared" si="11"/>
        <v>-17723295</v>
      </c>
      <c r="S33" s="4">
        <f t="shared" si="12"/>
        <v>10622192</v>
      </c>
      <c r="T33" s="4">
        <f t="shared" si="13"/>
        <v>61621390</v>
      </c>
      <c r="U33" s="4">
        <f t="shared" si="14"/>
        <v>77644685</v>
      </c>
      <c r="V33" s="4">
        <f t="shared" si="15"/>
        <v>-16023295</v>
      </c>
      <c r="W33" s="4">
        <v>0</v>
      </c>
      <c r="X33" s="4">
        <f>42562589+4211393+3339750+3896234+411424</f>
        <v>54421390</v>
      </c>
      <c r="Y33" s="4">
        <f>5000000+4000000</f>
        <v>9000000</v>
      </c>
      <c r="Z33" s="4">
        <f>-8700000-2000000</f>
        <v>-10700000</v>
      </c>
      <c r="AA33" s="4">
        <v>0</v>
      </c>
      <c r="AB33" s="4">
        <f>-10000000-50000000-100000-5000000-4000000-5000000-4300000-4000000-6000000+2000000+10000000+50000000+100000+5000000+4000000+5000000+4300000+4000000+6000000-100000-300000-2000000+100000+3887-3887+305234-5234</f>
        <v>0</v>
      </c>
      <c r="AC33" s="4">
        <f>5400000+1800000</f>
        <v>7200000</v>
      </c>
      <c r="AD33" s="4">
        <f>252000*2+166152+168000+168000</f>
        <v>1006152</v>
      </c>
      <c r="AE33" s="4">
        <f>165000</f>
        <v>165000</v>
      </c>
      <c r="AF33" s="4">
        <v>0</v>
      </c>
      <c r="AG33" s="4">
        <f>-5000000</f>
        <v>-5000000</v>
      </c>
      <c r="AH33" s="4">
        <f>600000+550000+2640000+1705000+3520000+500000</f>
        <v>9515000</v>
      </c>
      <c r="AI33" s="4">
        <f>150000+640000+400000+193400+2079720+42870374+6407730</f>
        <v>52741224</v>
      </c>
      <c r="AJ33" s="4">
        <f>100000</f>
        <v>100000</v>
      </c>
      <c r="AK33" s="4">
        <f>6274400+5464800</f>
        <v>11739200</v>
      </c>
      <c r="AL33" s="4">
        <f>931710+34000</f>
        <v>965710</v>
      </c>
      <c r="AM33" s="4">
        <f>-48650+1889680+99460+261070</f>
        <v>2201560</v>
      </c>
      <c r="AN33" s="4">
        <v>0</v>
      </c>
      <c r="AO33" s="4">
        <f>225000</f>
        <v>225000</v>
      </c>
      <c r="AP33" s="4">
        <v>0</v>
      </c>
      <c r="AQ33" s="4">
        <f>1100000</f>
        <v>1100000</v>
      </c>
      <c r="AR33" s="4">
        <v>0</v>
      </c>
      <c r="AS33" s="4">
        <f>750975+1011491</f>
        <v>1762466</v>
      </c>
      <c r="AT33" s="4">
        <f>14098+73457+27008+252520</f>
        <v>367083</v>
      </c>
      <c r="AU33" s="4">
        <v>0</v>
      </c>
      <c r="AV33" s="4">
        <f>35210+85800+30000+250750+160600+23930+86100+61900+22000</f>
        <v>756290</v>
      </c>
      <c r="AW33" s="4">
        <f t="shared" ref="AW33" si="43">SUM(AZ33:BE33)</f>
        <v>11404808</v>
      </c>
      <c r="AX33" s="4">
        <f t="shared" si="3"/>
        <v>5677274</v>
      </c>
      <c r="AY33" s="4">
        <f t="shared" ref="AY33" si="44">AY32+AW33-AX33</f>
        <v>10805284</v>
      </c>
      <c r="AZ33" s="4">
        <f>-2000000</f>
        <v>-2000000</v>
      </c>
      <c r="BA33" s="4">
        <f>2063615+178133+463060</f>
        <v>2704808</v>
      </c>
      <c r="BB33" s="4">
        <v>0</v>
      </c>
      <c r="BC33" s="4">
        <f>8700000+2000000</f>
        <v>10700000</v>
      </c>
      <c r="BD33" s="4">
        <v>0</v>
      </c>
      <c r="BE33" s="4">
        <v>0</v>
      </c>
      <c r="BF33" s="4">
        <v>0</v>
      </c>
      <c r="BG33" s="6">
        <v>0</v>
      </c>
      <c r="BH33" s="4">
        <v>0</v>
      </c>
      <c r="BI33" s="4">
        <v>0</v>
      </c>
      <c r="BJ33" s="4">
        <v>0</v>
      </c>
      <c r="BK33" s="4">
        <f>303550+1437000+104000+78000+422000+811300+936000+70000+1432000+66000</f>
        <v>5659850</v>
      </c>
      <c r="BL33" s="4">
        <v>0</v>
      </c>
      <c r="BM33" s="4">
        <v>0</v>
      </c>
      <c r="BN33" s="4">
        <f>13024</f>
        <v>13024</v>
      </c>
      <c r="BO33" s="4">
        <f>-4400-4400+4400+4400+4400</f>
        <v>4400</v>
      </c>
    </row>
    <row r="34" spans="1:67">
      <c r="A34">
        <v>2025</v>
      </c>
      <c r="B34">
        <v>2</v>
      </c>
      <c r="C34">
        <v>39</v>
      </c>
      <c r="D34">
        <f t="shared" si="38"/>
        <v>0</v>
      </c>
      <c r="E34">
        <v>19</v>
      </c>
      <c r="F34">
        <v>33</v>
      </c>
      <c r="G34" s="4">
        <f t="shared" si="0"/>
        <v>99191251</v>
      </c>
      <c r="H34" s="4">
        <f t="shared" ref="H34:H40" si="45">Q34+AX34</f>
        <v>96895178</v>
      </c>
      <c r="I34" s="4">
        <f t="shared" si="4"/>
        <v>2296073</v>
      </c>
      <c r="J34" s="4">
        <f t="shared" ref="J34:J40" si="46">J33+G34-H34</f>
        <v>23723549</v>
      </c>
      <c r="K34" s="4">
        <f t="shared" si="5"/>
        <v>76509393</v>
      </c>
      <c r="L34" s="4">
        <f t="shared" si="6"/>
        <v>96895178</v>
      </c>
      <c r="M34" s="4">
        <f t="shared" si="7"/>
        <v>-20385785</v>
      </c>
      <c r="N34" s="4">
        <f t="shared" si="19"/>
        <v>17500000</v>
      </c>
      <c r="O34" s="4">
        <f t="shared" si="9"/>
        <v>0</v>
      </c>
      <c r="P34" s="4">
        <f t="shared" ref="P34:P40" si="47">SUM(W34:AC34)</f>
        <v>94240441</v>
      </c>
      <c r="Q34" s="4">
        <f t="shared" ref="Q34:Q40" si="48">SUM(AD34:AV34)</f>
        <v>88960068</v>
      </c>
      <c r="R34" s="4">
        <f t="shared" si="11"/>
        <v>5280373</v>
      </c>
      <c r="S34" s="4">
        <f t="shared" si="12"/>
        <v>15902565</v>
      </c>
      <c r="T34" s="4">
        <f t="shared" si="13"/>
        <v>69240441</v>
      </c>
      <c r="U34" s="4">
        <f t="shared" si="14"/>
        <v>88960068</v>
      </c>
      <c r="V34" s="4">
        <f t="shared" si="15"/>
        <v>-19719627</v>
      </c>
      <c r="W34" s="4">
        <v>0</v>
      </c>
      <c r="X34" s="4">
        <f>36929982+32310459</f>
        <v>69240441</v>
      </c>
      <c r="Y34" s="4">
        <f>5000000+5000000+2000000+3000000</f>
        <v>15000000</v>
      </c>
      <c r="Z34" s="4">
        <f>10000000</f>
        <v>10000000</v>
      </c>
      <c r="AA34" s="4">
        <v>0</v>
      </c>
      <c r="AB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C34" s="4">
        <v>0</v>
      </c>
      <c r="AD34" s="4">
        <f>1170000+249858+1170000*3+252000</f>
        <v>5181858</v>
      </c>
      <c r="AE34" s="4">
        <f>165000</f>
        <v>165000</v>
      </c>
      <c r="AF34" s="4">
        <v>0</v>
      </c>
      <c r="AG34" s="4">
        <v>0</v>
      </c>
      <c r="AH34" s="4">
        <f>1650000+1100000+550000+605000+550000+2640000+1705000+550000+550000+3520000</f>
        <v>13420000</v>
      </c>
      <c r="AI34" s="4">
        <f>200000+600000+640000+400000+43719580+5948200+2755400</f>
        <v>54263180</v>
      </c>
      <c r="AJ34" s="4">
        <v>0</v>
      </c>
      <c r="AK34" s="4">
        <v>0</v>
      </c>
      <c r="AL34" s="4">
        <f>1036010</f>
        <v>1036010</v>
      </c>
      <c r="AM34" s="4">
        <f>106070+2036930+20500*2+157660</f>
        <v>2341660</v>
      </c>
      <c r="AN34" s="4">
        <f>2822000</f>
        <v>2822000</v>
      </c>
      <c r="AO34" s="4">
        <f>30000</f>
        <v>30000</v>
      </c>
      <c r="AP34" s="4">
        <v>0</v>
      </c>
      <c r="AQ34" s="4">
        <f>4290000</f>
        <v>4290000</v>
      </c>
      <c r="AR34" s="4">
        <f>39766+153417+36215</f>
        <v>229398</v>
      </c>
      <c r="AS34" s="4">
        <f>2541375</f>
        <v>2541375</v>
      </c>
      <c r="AT34" s="4">
        <f>245876+96451</f>
        <v>342327</v>
      </c>
      <c r="AU34" s="4">
        <v>0</v>
      </c>
      <c r="AV34" s="4">
        <f>35210+121800+250750+385000+385000+36000+45000+160600+59400+24660+71840+22000+400000+300000</f>
        <v>2297260</v>
      </c>
      <c r="AW34" s="4">
        <f t="shared" ref="AW34:AW40" si="49">SUM(AZ34:BE34)</f>
        <v>4950810</v>
      </c>
      <c r="AX34" s="4">
        <f t="shared" si="3"/>
        <v>7935110</v>
      </c>
      <c r="AY34" s="4">
        <f t="shared" ref="AY34:AY40" si="50">AY33+AW34-AX34</f>
        <v>7820984</v>
      </c>
      <c r="AZ34" s="4">
        <f>2500000</f>
        <v>2500000</v>
      </c>
      <c r="BA34" s="4">
        <f>800229+5255185+6395396</f>
        <v>12450810</v>
      </c>
      <c r="BB34" s="4">
        <v>0</v>
      </c>
      <c r="BC34" s="4">
        <f>-10000000</f>
        <v>-10000000</v>
      </c>
      <c r="BD34" s="4">
        <v>0</v>
      </c>
      <c r="BE34" s="4">
        <v>0</v>
      </c>
      <c r="BF34" s="4">
        <v>0</v>
      </c>
      <c r="BG34" s="6">
        <v>0</v>
      </c>
      <c r="BH34" s="4">
        <v>0</v>
      </c>
      <c r="BI34" s="4">
        <v>0</v>
      </c>
      <c r="BJ34" s="4">
        <v>0</v>
      </c>
      <c r="BK34" s="4">
        <f>73000+30000+48000+503000+500000+17000+1018500+2235600+2780360+286750+130000+260000</f>
        <v>7882210</v>
      </c>
      <c r="BL34" s="4">
        <v>0</v>
      </c>
      <c r="BM34" s="4">
        <v>0</v>
      </c>
      <c r="BN34" s="4">
        <f>52900</f>
        <v>52900</v>
      </c>
      <c r="BO34" s="4">
        <v>0</v>
      </c>
    </row>
    <row r="35" spans="1:67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45"/>
        <v>118450296</v>
      </c>
      <c r="I35" s="4">
        <f t="shared" si="4"/>
        <v>36742648</v>
      </c>
      <c r="J35" s="4">
        <f t="shared" si="46"/>
        <v>60466197</v>
      </c>
      <c r="K35" s="4">
        <f t="shared" si="5"/>
        <v>119365144</v>
      </c>
      <c r="L35" s="4">
        <f t="shared" si="6"/>
        <v>118450296</v>
      </c>
      <c r="M35" s="4">
        <f t="shared" si="7"/>
        <v>914848</v>
      </c>
      <c r="N35" s="4">
        <f t="shared" si="19"/>
        <v>-27000000</v>
      </c>
      <c r="O35" s="4">
        <f t="shared" si="9"/>
        <v>60000000</v>
      </c>
      <c r="P35" s="4">
        <f t="shared" si="47"/>
        <v>112597092</v>
      </c>
      <c r="Q35" s="4">
        <f t="shared" si="48"/>
        <v>100833358</v>
      </c>
      <c r="R35" s="4">
        <f t="shared" si="11"/>
        <v>11763734</v>
      </c>
      <c r="S35" s="4">
        <f t="shared" si="12"/>
        <v>27666299</v>
      </c>
      <c r="T35" s="4">
        <f t="shared" si="13"/>
        <v>102597092</v>
      </c>
      <c r="U35" s="4">
        <f t="shared" si="14"/>
        <v>100833358</v>
      </c>
      <c r="V35" s="4">
        <f t="shared" si="15"/>
        <v>1763734</v>
      </c>
      <c r="W35" s="4">
        <v>0</v>
      </c>
      <c r="X35" s="4">
        <f>35262260+7125060+7235415+8443180+136000+5592130+37003047</f>
        <v>100797092</v>
      </c>
      <c r="Y35" s="4">
        <f>4000000+6000000</f>
        <v>10000000</v>
      </c>
      <c r="Z35" s="4">
        <v>0</v>
      </c>
      <c r="AA35" s="4">
        <v>0</v>
      </c>
      <c r="AB35" s="4">
        <f>-64000000-7800000-8600000-4000000-3000000-4000000-10000000+64000000+7800000+8600000+4000000+3000000+4000000+10000000-500000-200000+200000+500000</f>
        <v>0</v>
      </c>
      <c r="AC35" s="4">
        <v>1800000</v>
      </c>
      <c r="AD35" s="4">
        <f>50000+108000+90000+252000+1157130+146000+119330+69340+102000+69000+168000+60000+129000+168000</f>
        <v>2687800</v>
      </c>
      <c r="AE35" s="4">
        <f>165000+1830000+1500000</f>
        <v>3495000</v>
      </c>
      <c r="AF35" s="4">
        <v>0</v>
      </c>
      <c r="AG35" s="4">
        <f>-5000000-5000000</f>
        <v>-10000000</v>
      </c>
      <c r="AH35" s="4">
        <f>151120+2640000+1650000+1100000+550000*2+1705000+3520000</f>
        <v>11866120</v>
      </c>
      <c r="AI35" s="4">
        <f>200000+600000+640000+400000+32034324+1718990+15708763+5355690+20080</f>
        <v>56677847</v>
      </c>
      <c r="AJ35" s="4">
        <f>13026920</f>
        <v>13026920</v>
      </c>
      <c r="AK35" s="4">
        <f>5997200+5799200</f>
        <v>11796400</v>
      </c>
      <c r="AL35" s="4">
        <v>0</v>
      </c>
      <c r="AM35" s="4">
        <f>-104630+152010+20500+104240+2273500</f>
        <v>2445620</v>
      </c>
      <c r="AN35" s="4">
        <v>0</v>
      </c>
      <c r="AO35" s="4">
        <v>0</v>
      </c>
      <c r="AP35" s="4">
        <v>0</v>
      </c>
      <c r="AQ35" s="4">
        <v>0</v>
      </c>
      <c r="AR35" s="4">
        <f>20017+18903+73700</f>
        <v>112620</v>
      </c>
      <c r="AS35" s="4">
        <f>2437505+2755737</f>
        <v>5193242</v>
      </c>
      <c r="AT35" s="4">
        <f>114378+222081</f>
        <v>336459</v>
      </c>
      <c r="AU35" s="4">
        <v>0</v>
      </c>
      <c r="AV35" s="4">
        <f>-2000+79000+35210+85800+255930+250750+1000+160600+22690+94250+22000+1415000+3100+385000+385000+1000+1000</f>
        <v>3195330</v>
      </c>
      <c r="AW35" s="4">
        <f t="shared" si="49"/>
        <v>42595852</v>
      </c>
      <c r="AX35" s="4">
        <f t="shared" si="3"/>
        <v>17616938</v>
      </c>
      <c r="AY35" s="4">
        <f t="shared" si="50"/>
        <v>32799898</v>
      </c>
      <c r="AZ35" s="4">
        <f>1000000-4000000-10000000-24000000</f>
        <v>-37000000</v>
      </c>
      <c r="BA35" s="4">
        <f>12660703+4317236+2616913</f>
        <v>19594852</v>
      </c>
      <c r="BB35" s="4">
        <v>60000000</v>
      </c>
      <c r="BC35" s="4">
        <v>0</v>
      </c>
      <c r="BD35" s="4">
        <v>0</v>
      </c>
      <c r="BE35" s="4">
        <v>1000</v>
      </c>
      <c r="BF35" s="4">
        <f>66000+66000+8000</f>
        <v>140000</v>
      </c>
      <c r="BG35" s="6">
        <v>0</v>
      </c>
      <c r="BH35" s="4">
        <v>0</v>
      </c>
      <c r="BI35" s="5">
        <f>155960+483500+224374</f>
        <v>863834</v>
      </c>
      <c r="BJ35" s="5">
        <f>-400-6050-1680-12110</f>
        <v>-20240</v>
      </c>
      <c r="BK35" s="6">
        <f>51000+75240+23900+6000+64600+3168200+202500+1079000+2024000+1279000+2000000+983700+342650+718000+65000+90250+16000+64000+184300+555000+73150</f>
        <v>13065490</v>
      </c>
      <c r="BL35" s="4">
        <v>0</v>
      </c>
      <c r="BM35" s="4">
        <v>0</v>
      </c>
      <c r="BN35" s="4">
        <f>425790+17064</f>
        <v>442854</v>
      </c>
      <c r="BO35" s="4">
        <f>2010000+35000+1080000</f>
        <v>3125000</v>
      </c>
    </row>
    <row r="36" spans="1:67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45"/>
        <v>103864298</v>
      </c>
      <c r="I36" s="4">
        <f t="shared" si="4"/>
        <v>-23496419</v>
      </c>
      <c r="J36" s="4">
        <f t="shared" si="46"/>
        <v>36969778</v>
      </c>
      <c r="K36" s="4">
        <f t="shared" si="5"/>
        <v>77215615</v>
      </c>
      <c r="L36" s="4">
        <f t="shared" si="6"/>
        <v>103864298</v>
      </c>
      <c r="M36" s="4">
        <f t="shared" si="7"/>
        <v>-26648683</v>
      </c>
      <c r="N36" s="4">
        <f t="shared" si="19"/>
        <v>2610000</v>
      </c>
      <c r="O36" s="4">
        <f t="shared" si="9"/>
        <v>0</v>
      </c>
      <c r="P36" s="4">
        <f t="shared" si="47"/>
        <v>76844664</v>
      </c>
      <c r="Q36" s="4">
        <f t="shared" si="48"/>
        <v>91545436</v>
      </c>
      <c r="R36" s="4">
        <f t="shared" si="11"/>
        <v>-14700772</v>
      </c>
      <c r="S36" s="4">
        <f t="shared" si="12"/>
        <v>12965527</v>
      </c>
      <c r="T36" s="4">
        <f t="shared" si="13"/>
        <v>73844664</v>
      </c>
      <c r="U36" s="4">
        <f t="shared" si="14"/>
        <v>91545436</v>
      </c>
      <c r="V36" s="4">
        <f t="shared" si="15"/>
        <v>-17700772</v>
      </c>
      <c r="W36" s="4">
        <v>0</v>
      </c>
      <c r="X36" s="4">
        <f>33671119+1621620+96030+6385190+24870705</f>
        <v>66644664</v>
      </c>
      <c r="Y36" s="4">
        <v>0</v>
      </c>
      <c r="Z36" s="4">
        <f>3000000</f>
        <v>3000000</v>
      </c>
      <c r="AA36" s="4">
        <v>0</v>
      </c>
      <c r="AB36" s="4">
        <f>-30000000-31425000-3000000-6000000-6000000-4000000-16000000+30000000+31425000+3000000+6000000+6000000+4000000+16000000-500000-200000+200000+500000</f>
        <v>0</v>
      </c>
      <c r="AC36" s="4">
        <f>1800000+5400000</f>
        <v>7200000</v>
      </c>
      <c r="AD36" s="4">
        <f>84000</f>
        <v>84000</v>
      </c>
      <c r="AE36" s="4">
        <f>165000+315000+480000</f>
        <v>960000</v>
      </c>
      <c r="AF36" s="4">
        <v>0</v>
      </c>
      <c r="AG36" s="4">
        <v>0</v>
      </c>
      <c r="AH36" s="4">
        <f>550000+2640000+1650000+1100000+550000+1705000+3520000</f>
        <v>11715000</v>
      </c>
      <c r="AI36" s="4">
        <f>2543230+363000+700000+800000+70000+1000000+38936100+4022760+2245510+60000+2000000</f>
        <v>52740600</v>
      </c>
      <c r="AJ36" s="4">
        <f>3198470+1258840+4675616+100000</f>
        <v>9232926</v>
      </c>
      <c r="AK36" s="4">
        <f>6555450</f>
        <v>6555450</v>
      </c>
      <c r="AL36" s="4">
        <f>-1040</f>
        <v>-1040</v>
      </c>
      <c r="AM36" s="4">
        <f>2375470+20500+107050</f>
        <v>2503020</v>
      </c>
      <c r="AN36" s="4">
        <f>120000+77000+440000+2237000+94000+63000</f>
        <v>3031000</v>
      </c>
      <c r="AO36" s="4">
        <v>0</v>
      </c>
      <c r="AP36" s="4">
        <v>0</v>
      </c>
      <c r="AQ36" s="4">
        <v>0</v>
      </c>
      <c r="AR36" s="4">
        <f>200000+32050</f>
        <v>232050</v>
      </c>
      <c r="AS36" s="4">
        <f>281299+2737612</f>
        <v>3018911</v>
      </c>
      <c r="AT36" s="4">
        <f>126632+253287</f>
        <v>379919</v>
      </c>
      <c r="AU36" s="4">
        <v>0</v>
      </c>
      <c r="AV36" s="4">
        <f>35210+252280+250750+33000+160600+23870+113660+224230</f>
        <v>1093600</v>
      </c>
      <c r="AW36" s="4">
        <f t="shared" si="49"/>
        <v>3523215</v>
      </c>
      <c r="AX36" s="4">
        <f t="shared" si="3"/>
        <v>12318862</v>
      </c>
      <c r="AY36" s="4">
        <f t="shared" si="50"/>
        <v>24004251</v>
      </c>
      <c r="AZ36" s="4">
        <f>500000+10000+100000+2000000</f>
        <v>2610000</v>
      </c>
      <c r="BA36" s="4">
        <f>1549560+223521+80000+372370+1289851+397913</f>
        <v>3913215</v>
      </c>
      <c r="BB36" s="4">
        <v>0</v>
      </c>
      <c r="BC36" s="4">
        <f>-3000000</f>
        <v>-3000000</v>
      </c>
      <c r="BD36" s="4">
        <f>3000000-3000000</f>
        <v>0</v>
      </c>
      <c r="BE36" s="4">
        <v>0</v>
      </c>
      <c r="BF36" s="4">
        <f>101592+81672+49000+65000+40000+90000+31000</f>
        <v>458264</v>
      </c>
      <c r="BG36" s="6">
        <v>0</v>
      </c>
      <c r="BH36" s="4">
        <f>180394</f>
        <v>180394</v>
      </c>
      <c r="BI36" s="5">
        <f>580200+2707600+1063700</f>
        <v>4351500</v>
      </c>
      <c r="BJ36" s="5">
        <f>71310</f>
        <v>71310</v>
      </c>
      <c r="BK36" s="4">
        <f>66500+369000+54000+3000000+680000+606000+378000+1183700+361500+550000</f>
        <v>7248700</v>
      </c>
      <c r="BL36" s="4">
        <v>0</v>
      </c>
      <c r="BM36" s="4">
        <v>0</v>
      </c>
      <c r="BN36" s="4">
        <f>8694</f>
        <v>8694</v>
      </c>
      <c r="BO36" s="4">
        <v>0</v>
      </c>
    </row>
    <row r="37" spans="1:67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45"/>
        <v>84483353</v>
      </c>
      <c r="I37" s="4">
        <f t="shared" si="4"/>
        <v>22314591</v>
      </c>
      <c r="J37" s="4">
        <f t="shared" si="46"/>
        <v>59284369</v>
      </c>
      <c r="K37" s="4">
        <f t="shared" si="5"/>
        <v>103573281</v>
      </c>
      <c r="L37" s="4">
        <f t="shared" si="6"/>
        <v>84483353</v>
      </c>
      <c r="M37" s="4">
        <f t="shared" si="7"/>
        <v>19089928</v>
      </c>
      <c r="N37" s="4">
        <f t="shared" si="19"/>
        <v>3000000</v>
      </c>
      <c r="O37" s="4">
        <f t="shared" si="9"/>
        <v>0</v>
      </c>
      <c r="P37" s="4">
        <f t="shared" si="47"/>
        <v>100920813</v>
      </c>
      <c r="Q37" s="4">
        <f t="shared" si="48"/>
        <v>75518285</v>
      </c>
      <c r="R37" s="4">
        <f t="shared" si="11"/>
        <v>25402528</v>
      </c>
      <c r="S37" s="4">
        <f t="shared" si="12"/>
        <v>38368055</v>
      </c>
      <c r="T37" s="4">
        <f t="shared" si="13"/>
        <v>95920813</v>
      </c>
      <c r="U37" s="4">
        <f t="shared" si="14"/>
        <v>75518285</v>
      </c>
      <c r="V37" s="4">
        <f t="shared" si="15"/>
        <v>20402528</v>
      </c>
      <c r="W37" s="4">
        <v>0</v>
      </c>
      <c r="X37" s="4">
        <f>41881356+13726948+40312509</f>
        <v>95920813</v>
      </c>
      <c r="Y37" s="4">
        <v>0</v>
      </c>
      <c r="Z37" s="4">
        <v>5000000</v>
      </c>
      <c r="AA37" s="4">
        <v>0</v>
      </c>
      <c r="AB37" s="4">
        <f>4000000-38000000-4000000-5000000-1000000-11000000-15000000+38000000+4000000+5000000+1000000+11000000+15000000-400000-4000000+400000</f>
        <v>0</v>
      </c>
      <c r="AC37" s="4">
        <v>0</v>
      </c>
      <c r="AD37" s="4">
        <v>0</v>
      </c>
      <c r="AE37" s="4">
        <f>165000</f>
        <v>165000</v>
      </c>
      <c r="AF37" s="4">
        <f>286000</f>
        <v>286000</v>
      </c>
      <c r="AG37" s="4">
        <v>0</v>
      </c>
      <c r="AH37" s="4">
        <f>1320000+720000+600000+1100000+1650000+550000+1705000+3520000+1650000+1100000+550000*2</f>
        <v>15015000</v>
      </c>
      <c r="AI37" s="4">
        <f>543150-435150+60000*2+2420000+55000+37560918+754260+1353800+580200+177283+4643530+363000+453150+1100000+770000+164390+510000</f>
        <v>51133531</v>
      </c>
      <c r="AJ37" s="4">
        <v>0</v>
      </c>
      <c r="AK37" s="4">
        <v>0</v>
      </c>
      <c r="AL37" s="4">
        <v>0</v>
      </c>
      <c r="AM37" s="4">
        <f>2138630+20500+20500</f>
        <v>2179630</v>
      </c>
      <c r="AN37" s="4">
        <f>70000+49600+35000+94000+56000</f>
        <v>304600</v>
      </c>
      <c r="AO37" s="4">
        <v>0</v>
      </c>
      <c r="AP37" s="4">
        <v>0</v>
      </c>
      <c r="AQ37" s="4">
        <v>1100000</v>
      </c>
      <c r="AR37" s="4">
        <v>0</v>
      </c>
      <c r="AS37" s="4">
        <f>1544757+2601664</f>
        <v>4146421</v>
      </c>
      <c r="AT37" s="4">
        <f>120763+282410</f>
        <v>403173</v>
      </c>
      <c r="AU37" s="4">
        <v>0</v>
      </c>
      <c r="AV37" s="4">
        <f>35210+22000+41800+22000+250750+33000+57600+160600+15050+146920</f>
        <v>784930</v>
      </c>
      <c r="AW37" s="4">
        <f t="shared" si="49"/>
        <v>5877131</v>
      </c>
      <c r="AX37" s="4">
        <f t="shared" si="3"/>
        <v>8965068</v>
      </c>
      <c r="AY37" s="4">
        <f t="shared" si="50"/>
        <v>20916314</v>
      </c>
      <c r="AZ37" s="4">
        <f>3000000</f>
        <v>3000000</v>
      </c>
      <c r="BA37" s="4">
        <f>2689081+5781232-968280+375098</f>
        <v>7877131</v>
      </c>
      <c r="BB37" s="4">
        <v>0</v>
      </c>
      <c r="BC37" s="4">
        <f>-5000000</f>
        <v>-5000000</v>
      </c>
      <c r="BD37" s="4">
        <v>0</v>
      </c>
      <c r="BE37" s="4">
        <v>0</v>
      </c>
      <c r="BF37" s="4">
        <f>134798+89865</f>
        <v>224663</v>
      </c>
      <c r="BG37" s="6">
        <v>0</v>
      </c>
      <c r="BH37" s="4">
        <f>174575</f>
        <v>174575</v>
      </c>
      <c r="BI37" s="5">
        <f>-968280+968280+968280+2707600</f>
        <v>3675880</v>
      </c>
      <c r="BJ37" s="5">
        <f>33040</f>
        <v>33040</v>
      </c>
      <c r="BK37" s="4">
        <f>5000+102000+1638000+144400+54150+698000+1110360+239400+184600+165000+516000</f>
        <v>4856910</v>
      </c>
      <c r="BL37" s="4">
        <v>0</v>
      </c>
      <c r="BM37" s="4">
        <v>0</v>
      </c>
      <c r="BN37" s="4">
        <v>0</v>
      </c>
      <c r="BO37" s="4">
        <v>0</v>
      </c>
    </row>
    <row r="38" spans="1:67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45"/>
        <v>91904883</v>
      </c>
      <c r="I38" s="4">
        <f t="shared" si="4"/>
        <v>-15944487</v>
      </c>
      <c r="J38" s="4">
        <f t="shared" si="46"/>
        <v>43339882</v>
      </c>
      <c r="K38" s="4">
        <f t="shared" si="5"/>
        <v>75730396</v>
      </c>
      <c r="L38" s="4">
        <f t="shared" si="6"/>
        <v>91904883</v>
      </c>
      <c r="M38" s="4">
        <f t="shared" si="7"/>
        <v>-16174487</v>
      </c>
      <c r="N38" s="4">
        <f t="shared" si="19"/>
        <v>0</v>
      </c>
      <c r="O38" s="4">
        <f t="shared" si="9"/>
        <v>0</v>
      </c>
      <c r="P38" s="4">
        <f t="shared" si="47"/>
        <v>66950830</v>
      </c>
      <c r="Q38" s="4">
        <f t="shared" si="48"/>
        <v>80521101</v>
      </c>
      <c r="R38" s="4">
        <f t="shared" si="11"/>
        <v>-13570271</v>
      </c>
      <c r="S38" s="4">
        <f t="shared" si="12"/>
        <v>24797784</v>
      </c>
      <c r="T38" s="4">
        <f t="shared" si="13"/>
        <v>66950830</v>
      </c>
      <c r="U38" s="4">
        <f t="shared" si="14"/>
        <v>80521101</v>
      </c>
      <c r="V38" s="4">
        <f t="shared" si="15"/>
        <v>-13570271</v>
      </c>
      <c r="W38" s="4">
        <v>0</v>
      </c>
      <c r="X38" s="4">
        <f>38714231+28228685</f>
        <v>66942916</v>
      </c>
      <c r="Y38" s="4">
        <v>0</v>
      </c>
      <c r="Z38" s="4">
        <v>0</v>
      </c>
      <c r="AA38" s="4">
        <v>0</v>
      </c>
      <c r="AB38" s="4">
        <f>-50000000-5000000-5000000-9000000+50000000+5000000+5000000+9000000</f>
        <v>0</v>
      </c>
      <c r="AC38" s="4">
        <f>4747+2997+74+96</f>
        <v>7914</v>
      </c>
      <c r="AD38" s="4">
        <f>168000+62000</f>
        <v>230000</v>
      </c>
      <c r="AE38" s="4">
        <f>165000+139500</f>
        <v>304500</v>
      </c>
      <c r="AF38" s="4">
        <v>0</v>
      </c>
      <c r="AG38" s="4">
        <f>200000+1800000</f>
        <v>2000000</v>
      </c>
      <c r="AH38" s="4">
        <f>1320000+720000+600000+410000+1705000+3520000</f>
        <v>8275000</v>
      </c>
      <c r="AI38" s="4">
        <f>580200+203070+180000+2420000+46203591+4230250+90750</f>
        <v>53907861</v>
      </c>
      <c r="AJ38" s="4">
        <v>1500000</v>
      </c>
      <c r="AK38" s="4">
        <v>7285410</v>
      </c>
      <c r="AL38" s="4">
        <f>422320</f>
        <v>422320</v>
      </c>
      <c r="AM38" s="4">
        <f>368720+250110+70490</f>
        <v>689320</v>
      </c>
      <c r="AN38" s="4">
        <f>56000+59000</f>
        <v>115000</v>
      </c>
      <c r="AO38" s="4">
        <v>0</v>
      </c>
      <c r="AP38" s="4">
        <v>0</v>
      </c>
      <c r="AQ38" s="4">
        <f>550000+550000</f>
        <v>1100000</v>
      </c>
      <c r="AR38" s="4">
        <v>0</v>
      </c>
      <c r="AS38" s="4">
        <v>3019800</v>
      </c>
      <c r="AT38" s="4">
        <f>118734+244756</f>
        <v>363490</v>
      </c>
      <c r="AU38" s="4">
        <v>0</v>
      </c>
      <c r="AV38" s="4">
        <f>48000+4400+35210+22000+41800+3100+10000+250750+2000+33000+5200+160600+19150+112190+561000</f>
        <v>1308400</v>
      </c>
      <c r="AW38" s="4">
        <f t="shared" si="49"/>
        <v>9009566</v>
      </c>
      <c r="AX38" s="4">
        <f t="shared" si="3"/>
        <v>11383782</v>
      </c>
      <c r="AY38" s="4">
        <f t="shared" si="50"/>
        <v>18542098</v>
      </c>
      <c r="AZ38" s="4">
        <v>0</v>
      </c>
      <c r="BA38" s="4">
        <f>780410-5113+5446868+1550291+1229914</f>
        <v>9002370</v>
      </c>
      <c r="BB38" s="4">
        <v>0</v>
      </c>
      <c r="BC38" s="4">
        <v>0</v>
      </c>
      <c r="BD38" s="4">
        <v>0</v>
      </c>
      <c r="BE38" s="4">
        <f>5113+2083</f>
        <v>7196</v>
      </c>
      <c r="BF38" s="4">
        <v>0</v>
      </c>
      <c r="BG38" s="6">
        <v>0</v>
      </c>
      <c r="BH38" s="4">
        <f>180394</f>
        <v>180394</v>
      </c>
      <c r="BI38" s="5">
        <f>2707600+968280</f>
        <v>3675880</v>
      </c>
      <c r="BJ38" s="5">
        <f>-1173280+30040+3000</f>
        <v>-1140240</v>
      </c>
      <c r="BK38" s="4">
        <f>24000+393000+529000+1500000+376500+64000+648000+1251000+18050+15000+1110000+167960</f>
        <v>6096510</v>
      </c>
      <c r="BL38" s="4">
        <v>0</v>
      </c>
      <c r="BM38" s="4">
        <v>0</v>
      </c>
      <c r="BN38" s="4">
        <f>2571238</f>
        <v>2571238</v>
      </c>
      <c r="BO38" s="4">
        <v>0</v>
      </c>
    </row>
    <row r="39" spans="1:67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45"/>
        <v>98343375</v>
      </c>
      <c r="I39" s="4">
        <f t="shared" si="4"/>
        <v>3192631</v>
      </c>
      <c r="J39" s="4">
        <f t="shared" si="46"/>
        <v>46532513</v>
      </c>
      <c r="K39" s="4">
        <f t="shared" si="5"/>
        <v>99356006</v>
      </c>
      <c r="L39" s="4">
        <f t="shared" si="6"/>
        <v>98343375</v>
      </c>
      <c r="M39" s="4">
        <f t="shared" si="7"/>
        <v>1012631</v>
      </c>
      <c r="N39" s="4">
        <f t="shared" si="19"/>
        <v>2000000</v>
      </c>
      <c r="O39" s="4">
        <f t="shared" si="9"/>
        <v>0</v>
      </c>
      <c r="P39" s="4">
        <f t="shared" si="47"/>
        <v>100313568</v>
      </c>
      <c r="Q39" s="4">
        <f t="shared" si="48"/>
        <v>89848002</v>
      </c>
      <c r="R39" s="4">
        <f t="shared" si="11"/>
        <v>10465566</v>
      </c>
      <c r="S39" s="4">
        <f t="shared" si="12"/>
        <v>35263350</v>
      </c>
      <c r="T39" s="4">
        <f t="shared" si="13"/>
        <v>94313568</v>
      </c>
      <c r="U39" s="4">
        <f t="shared" si="14"/>
        <v>89848002</v>
      </c>
      <c r="V39" s="4">
        <f t="shared" si="15"/>
        <v>4465566</v>
      </c>
      <c r="W39" s="4">
        <v>0</v>
      </c>
      <c r="X39" s="4">
        <f>46656995+1769130+10200158+14213155+19674130</f>
        <v>92513568</v>
      </c>
      <c r="Y39" s="4">
        <f>2500000+1500000+2000000</f>
        <v>6000000</v>
      </c>
      <c r="Z39" s="4">
        <v>0</v>
      </c>
      <c r="AA39" s="4">
        <v>0</v>
      </c>
      <c r="AB39" s="4">
        <f>5000000-36000000-30000000-3000000-1800000-1400000-2000000-4000000-6000000-15000000+36000000+30000000+3000000+1800000+1400000+2000000+4000000+6000000+15000000-300000-300000-5000000+300000*2</f>
        <v>0</v>
      </c>
      <c r="AC39" s="4">
        <f>1800000</f>
        <v>1800000</v>
      </c>
      <c r="AD39" s="4">
        <f>180000</f>
        <v>180000</v>
      </c>
      <c r="AE39" s="4">
        <f>165000+110000</f>
        <v>275000</v>
      </c>
      <c r="AF39" s="4">
        <v>0</v>
      </c>
      <c r="AG39" s="4">
        <v>0</v>
      </c>
      <c r="AH39" s="4">
        <f>1650000+1100000+1320000+720000+600000+550000+550000+550000+1705000+3520000</f>
        <v>12265000</v>
      </c>
      <c r="AI39" s="4">
        <f>2475000+1284260+46622460+4199090+2400000+770000+272250</f>
        <v>58023060</v>
      </c>
      <c r="AJ39" s="4">
        <v>0</v>
      </c>
      <c r="AK39" s="4">
        <f>6549950</f>
        <v>6549950</v>
      </c>
      <c r="AL39" s="4">
        <f>1080890+12000</f>
        <v>1092890</v>
      </c>
      <c r="AM39" s="4">
        <f>13900+20500+4940+3678950+2120910</f>
        <v>5839200</v>
      </c>
      <c r="AN39" s="4">
        <v>0</v>
      </c>
      <c r="AO39" s="4">
        <v>0</v>
      </c>
      <c r="AP39" s="4">
        <v>0</v>
      </c>
      <c r="AQ39" s="4">
        <f>550000</f>
        <v>550000</v>
      </c>
      <c r="AR39" s="4">
        <v>0</v>
      </c>
      <c r="AS39" s="4">
        <f>2773640</f>
        <v>2773640</v>
      </c>
      <c r="AT39" s="4">
        <f>114904+326738</f>
        <v>441642</v>
      </c>
      <c r="AU39" s="4">
        <v>0</v>
      </c>
      <c r="AV39" s="4">
        <f>35210+63800+39200+385000*3+250750+33000+160600+11640+108420</f>
        <v>1857620</v>
      </c>
      <c r="AW39" s="4">
        <f t="shared" si="49"/>
        <v>1222438</v>
      </c>
      <c r="AX39" s="4">
        <f t="shared" si="3"/>
        <v>8495373</v>
      </c>
      <c r="AY39" s="4">
        <f t="shared" si="50"/>
        <v>11269163</v>
      </c>
      <c r="AZ39" s="4">
        <f>-2000000-2000000</f>
        <v>-4000000</v>
      </c>
      <c r="BA39" s="4">
        <f>4855501+366937</f>
        <v>5222438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6">
        <v>0</v>
      </c>
      <c r="BH39" s="4">
        <f>160767</f>
        <v>160767</v>
      </c>
      <c r="BI39" s="4">
        <v>0</v>
      </c>
      <c r="BJ39" s="4">
        <v>0</v>
      </c>
      <c r="BK39" s="4">
        <f>492000+125000+1813500+175500+1000000+648000+64000+40500+555000+730500+292500+225000</f>
        <v>6161500</v>
      </c>
      <c r="BL39" s="4">
        <v>0</v>
      </c>
      <c r="BM39" s="4">
        <v>0</v>
      </c>
      <c r="BN39" s="4">
        <f>2135680</f>
        <v>2135680</v>
      </c>
      <c r="BO39" s="4">
        <f>28070+9356</f>
        <v>37426</v>
      </c>
    </row>
    <row r="40" spans="1:67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45"/>
        <v>96131041</v>
      </c>
      <c r="I40" s="4">
        <f t="shared" si="4"/>
        <v>-27070153</v>
      </c>
      <c r="J40" s="4">
        <f t="shared" si="46"/>
        <v>19462360</v>
      </c>
      <c r="K40" s="4">
        <f t="shared" si="5"/>
        <v>65419266</v>
      </c>
      <c r="L40" s="4">
        <f t="shared" si="6"/>
        <v>96131041</v>
      </c>
      <c r="M40" s="4">
        <f t="shared" si="7"/>
        <v>-30711775</v>
      </c>
      <c r="N40" s="4">
        <f t="shared" si="19"/>
        <v>1400000</v>
      </c>
      <c r="O40" s="4">
        <f t="shared" si="9"/>
        <v>0</v>
      </c>
      <c r="P40" s="4">
        <f t="shared" si="47"/>
        <v>67831315</v>
      </c>
      <c r="Q40" s="4">
        <f t="shared" si="48"/>
        <v>89542535</v>
      </c>
      <c r="R40" s="4">
        <f t="shared" si="11"/>
        <v>-21711220</v>
      </c>
      <c r="S40" s="4">
        <f t="shared" si="12"/>
        <v>13552130</v>
      </c>
      <c r="T40" s="4">
        <f t="shared" si="13"/>
        <v>60681315</v>
      </c>
      <c r="U40" s="4">
        <f t="shared" si="14"/>
        <v>89542535</v>
      </c>
      <c r="V40" s="4">
        <f t="shared" si="15"/>
        <v>-28861220</v>
      </c>
      <c r="W40" s="4">
        <v>0</v>
      </c>
      <c r="X40" s="4">
        <f>20804916+14744017+25132382</f>
        <v>60681315</v>
      </c>
      <c r="Y40" s="4">
        <f>2000000</f>
        <v>2000000</v>
      </c>
      <c r="Z40" s="4">
        <f>5000000+150000</f>
        <v>5150000</v>
      </c>
      <c r="AA40" s="4">
        <v>0</v>
      </c>
      <c r="AB40" s="4">
        <f>-43000000-2600000-5000000-5000000-10000000-1000000-5000000-9000000+43000000+2600000+5000000+5000000+10000000+1000000+5000000+9000000</f>
        <v>0</v>
      </c>
      <c r="AC40" s="4">
        <v>0</v>
      </c>
      <c r="AD40" s="4">
        <f>63000+35000+322000+800000+206440+94000+99920+208000</f>
        <v>1828360</v>
      </c>
      <c r="AE40" s="4">
        <f>165000+110000</f>
        <v>275000</v>
      </c>
      <c r="AF40" s="4">
        <v>0</v>
      </c>
      <c r="AG40" s="4">
        <v>0</v>
      </c>
      <c r="AH40" s="4">
        <f>410000+1100000+1100000+3300000+1705000+1320000+720000+600000+1100000+3520000</f>
        <v>14875000</v>
      </c>
      <c r="AI40" s="4">
        <f>52877037+1133000+869399+1424887</f>
        <v>56304323</v>
      </c>
      <c r="AJ40" s="4">
        <v>0</v>
      </c>
      <c r="AK40" s="4">
        <f>6345240</f>
        <v>6345240</v>
      </c>
      <c r="AL40" s="4">
        <f>1105010+16000+282250</f>
        <v>1403260</v>
      </c>
      <c r="AM40" s="4">
        <f>87240+41000+1920+2286720+8660</f>
        <v>2425540</v>
      </c>
      <c r="AN40" s="4">
        <f>-63000</f>
        <v>-63000</v>
      </c>
      <c r="AO40" s="4">
        <v>0</v>
      </c>
      <c r="AP40" s="4">
        <v>0</v>
      </c>
      <c r="AQ40" s="4">
        <f>550000</f>
        <v>550000</v>
      </c>
      <c r="AR40" s="4">
        <v>0</v>
      </c>
      <c r="AS40" s="4">
        <f>2513722+2046884</f>
        <v>4560606</v>
      </c>
      <c r="AT40" s="4">
        <f>117698+274838</f>
        <v>392536</v>
      </c>
      <c r="AU40" s="4">
        <v>0</v>
      </c>
      <c r="AV40" s="4">
        <f>35210+63800+250750+33000+160600+18100+84210</f>
        <v>645670</v>
      </c>
      <c r="AW40" s="4">
        <f t="shared" si="49"/>
        <v>1229573</v>
      </c>
      <c r="AX40" s="4">
        <f t="shared" si="3"/>
        <v>6588506</v>
      </c>
      <c r="AY40" s="4">
        <f t="shared" si="50"/>
        <v>5910230</v>
      </c>
      <c r="AZ40" s="4">
        <f>2000000-4000000+1000000+400000</f>
        <v>-600000</v>
      </c>
      <c r="BA40" s="4">
        <f>635300+914569+603123+2087791+94000+99920+4151870-1757000</f>
        <v>6829573</v>
      </c>
      <c r="BB40" s="4">
        <v>0</v>
      </c>
      <c r="BC40" s="4">
        <f>-5000000</f>
        <v>-5000000</v>
      </c>
      <c r="BD40" s="4">
        <v>0</v>
      </c>
      <c r="BE40" s="4">
        <v>0</v>
      </c>
      <c r="BF40" s="4">
        <f>11000+73704+150000+28558</f>
        <v>263262</v>
      </c>
      <c r="BG40" s="6">
        <v>0</v>
      </c>
      <c r="BH40" s="4">
        <f>166126</f>
        <v>166126</v>
      </c>
      <c r="BI40" s="4">
        <v>0</v>
      </c>
      <c r="BJ40" s="4">
        <f>55000</f>
        <v>55000</v>
      </c>
      <c r="BK40" s="5">
        <f>54150+18050+436000+1669150+64000+64000+551000+338000</f>
        <v>3194350</v>
      </c>
      <c r="BL40" s="4">
        <v>0</v>
      </c>
      <c r="BM40" s="4">
        <v>0</v>
      </c>
      <c r="BN40" s="4">
        <f>1085840+1823928</f>
        <v>2909768</v>
      </c>
      <c r="BO40" s="4">
        <v>0</v>
      </c>
    </row>
    <row r="41" spans="1:67">
      <c r="A41">
        <v>2025</v>
      </c>
      <c r="B41">
        <v>9</v>
      </c>
      <c r="C41">
        <v>34</v>
      </c>
      <c r="D41">
        <v>60</v>
      </c>
      <c r="E41">
        <v>30</v>
      </c>
      <c r="F41">
        <v>48</v>
      </c>
      <c r="BG41" s="6"/>
    </row>
    <row r="42" spans="1:67">
      <c r="BG42" s="6"/>
    </row>
    <row r="43" spans="1:67">
      <c r="BG43" s="6"/>
    </row>
    <row r="44" spans="1:67">
      <c r="BG44" s="6"/>
    </row>
    <row r="46" spans="1:67">
      <c r="P46" s="4">
        <v>52861798</v>
      </c>
      <c r="Q46" s="4">
        <v>60235000</v>
      </c>
      <c r="S46" s="7">
        <v>5346645</v>
      </c>
      <c r="T46" s="12"/>
      <c r="U46" s="12"/>
      <c r="V46" s="12"/>
      <c r="W46" s="4">
        <v>11466424</v>
      </c>
      <c r="AY46" s="7">
        <v>5299642</v>
      </c>
    </row>
    <row r="47" spans="1:67">
      <c r="P47" s="4">
        <v>82610000</v>
      </c>
      <c r="Q47" s="4">
        <v>82968758</v>
      </c>
      <c r="S47" s="7">
        <v>8082232</v>
      </c>
      <c r="T47" s="12"/>
      <c r="U47" s="12"/>
      <c r="V47" s="12"/>
      <c r="W47" s="4">
        <v>4384843</v>
      </c>
      <c r="AY47" s="8">
        <v>610588</v>
      </c>
    </row>
    <row r="48" spans="1:67" ht="17">
      <c r="P48" s="9">
        <v>100000</v>
      </c>
      <c r="Q48" s="9">
        <v>97422</v>
      </c>
      <c r="R48" s="9"/>
      <c r="S48" s="9">
        <v>117417</v>
      </c>
      <c r="T48" s="13"/>
      <c r="U48" s="13"/>
      <c r="V48" s="13"/>
      <c r="Y48" s="4">
        <f>SUM(Y2:Y40)+SUM(AZ2:AZ40)</f>
        <v>16704705</v>
      </c>
      <c r="Z48" s="4">
        <f>SUM(Z2:Z40)+SUM(BC2:BC40)</f>
        <v>150000</v>
      </c>
      <c r="AY48" s="4">
        <f>AY46+AY47</f>
        <v>5910230</v>
      </c>
    </row>
    <row r="49" spans="19:51">
      <c r="S49" s="4">
        <v>0</v>
      </c>
      <c r="AY49" s="4">
        <f>AY48-AY40</f>
        <v>0</v>
      </c>
    </row>
    <row r="50" spans="19:51" ht="17">
      <c r="S50" s="10">
        <v>5836</v>
      </c>
      <c r="T50" s="14"/>
      <c r="U50" s="14"/>
      <c r="V50" s="14"/>
    </row>
    <row r="51" spans="19:51" ht="17">
      <c r="S51" s="11">
        <v>0</v>
      </c>
      <c r="T51" s="15"/>
      <c r="U51" s="15"/>
      <c r="V51" s="15"/>
    </row>
    <row r="53" spans="19:51">
      <c r="S53" s="4">
        <f>SUM(S46:S51)</f>
        <v>13552130</v>
      </c>
    </row>
    <row r="54" spans="19:51">
      <c r="S54" s="4">
        <f>S53-S40</f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E599-8379-4E0A-A653-7E23B0D57016}">
  <dimension ref="A1:BS65"/>
  <sheetViews>
    <sheetView tabSelected="1" topLeftCell="BF1" zoomScale="150" zoomScaleNormal="120" workbookViewId="0">
      <selection activeCell="BK17" sqref="BK17"/>
    </sheetView>
  </sheetViews>
  <sheetFormatPr baseColWidth="10" defaultColWidth="8.83203125" defaultRowHeight="16"/>
  <cols>
    <col min="2" max="2" width="14.5" bestFit="1" customWidth="1"/>
    <col min="14" max="14" width="14.5" bestFit="1" customWidth="1"/>
    <col min="26" max="26" width="14.5" bestFit="1" customWidth="1"/>
    <col min="38" max="38" width="14.5" bestFit="1" customWidth="1"/>
    <col min="39" max="39" width="13.6640625" customWidth="1"/>
    <col min="50" max="50" width="14.5" bestFit="1" customWidth="1"/>
    <col min="51" max="51" width="13.6640625" customWidth="1"/>
    <col min="62" max="62" width="14.5" bestFit="1" customWidth="1"/>
    <col min="63" max="63" width="13.6640625" customWidth="1"/>
  </cols>
  <sheetData>
    <row r="1" spans="1:71">
      <c r="A1" t="s">
        <v>117</v>
      </c>
      <c r="B1" t="s">
        <v>0</v>
      </c>
      <c r="C1" t="s">
        <v>4</v>
      </c>
      <c r="D1" t="s">
        <v>3</v>
      </c>
      <c r="E1" t="s">
        <v>2</v>
      </c>
      <c r="F1" t="s">
        <v>5</v>
      </c>
      <c r="G1" t="s">
        <v>24</v>
      </c>
      <c r="H1" t="s">
        <v>25</v>
      </c>
      <c r="I1" t="s">
        <v>6</v>
      </c>
      <c r="J1" t="s">
        <v>7</v>
      </c>
      <c r="K1" t="s">
        <v>12</v>
      </c>
      <c r="M1" t="s">
        <v>117</v>
      </c>
      <c r="N1" t="s">
        <v>0</v>
      </c>
      <c r="O1" t="s">
        <v>4</v>
      </c>
      <c r="P1" t="s">
        <v>3</v>
      </c>
      <c r="Q1" t="s">
        <v>2</v>
      </c>
      <c r="R1" t="s">
        <v>5</v>
      </c>
      <c r="S1" t="s">
        <v>24</v>
      </c>
      <c r="T1" t="s">
        <v>25</v>
      </c>
      <c r="U1" t="s">
        <v>6</v>
      </c>
      <c r="V1" t="s">
        <v>7</v>
      </c>
      <c r="W1" t="s">
        <v>12</v>
      </c>
      <c r="Y1" t="s">
        <v>117</v>
      </c>
      <c r="Z1" t="s">
        <v>0</v>
      </c>
      <c r="AA1" t="s">
        <v>4</v>
      </c>
      <c r="AB1" t="s">
        <v>3</v>
      </c>
      <c r="AC1" t="s">
        <v>2</v>
      </c>
      <c r="AD1" t="s">
        <v>5</v>
      </c>
      <c r="AE1" t="s">
        <v>24</v>
      </c>
      <c r="AF1" t="s">
        <v>25</v>
      </c>
      <c r="AG1" t="s">
        <v>6</v>
      </c>
      <c r="AH1" t="s">
        <v>7</v>
      </c>
      <c r="AI1" t="s">
        <v>12</v>
      </c>
      <c r="AK1" t="s">
        <v>117</v>
      </c>
      <c r="AL1" t="s">
        <v>0</v>
      </c>
      <c r="AM1" t="s">
        <v>4</v>
      </c>
      <c r="AN1" t="s">
        <v>3</v>
      </c>
      <c r="AO1" t="s">
        <v>2</v>
      </c>
      <c r="AP1" t="s">
        <v>5</v>
      </c>
      <c r="AQ1" t="s">
        <v>24</v>
      </c>
      <c r="AR1" t="s">
        <v>25</v>
      </c>
      <c r="AS1" t="s">
        <v>6</v>
      </c>
      <c r="AT1" t="s">
        <v>7</v>
      </c>
      <c r="AU1" t="s">
        <v>12</v>
      </c>
      <c r="AW1" t="s">
        <v>117</v>
      </c>
      <c r="AX1" t="s">
        <v>0</v>
      </c>
      <c r="AY1" t="s">
        <v>4</v>
      </c>
      <c r="AZ1" t="s">
        <v>3</v>
      </c>
      <c r="BA1" t="s">
        <v>2</v>
      </c>
      <c r="BB1" t="s">
        <v>5</v>
      </c>
      <c r="BC1" t="s">
        <v>24</v>
      </c>
      <c r="BD1" t="s">
        <v>25</v>
      </c>
      <c r="BE1" t="s">
        <v>6</v>
      </c>
      <c r="BF1" t="s">
        <v>7</v>
      </c>
      <c r="BG1" t="s">
        <v>12</v>
      </c>
      <c r="BI1" t="s">
        <v>147</v>
      </c>
      <c r="BJ1" t="s">
        <v>0</v>
      </c>
      <c r="BK1" t="s">
        <v>4</v>
      </c>
      <c r="BL1" t="s">
        <v>3</v>
      </c>
      <c r="BM1" t="s">
        <v>2</v>
      </c>
      <c r="BN1" t="s">
        <v>5</v>
      </c>
      <c r="BO1" t="s">
        <v>24</v>
      </c>
      <c r="BP1" t="s">
        <v>25</v>
      </c>
      <c r="BQ1" t="s">
        <v>6</v>
      </c>
      <c r="BR1" t="s">
        <v>7</v>
      </c>
      <c r="BS1" t="s">
        <v>12</v>
      </c>
    </row>
    <row r="2" spans="1:71">
      <c r="A2" t="s">
        <v>112</v>
      </c>
      <c r="B2" t="s">
        <v>1</v>
      </c>
      <c r="C2" s="1" t="s">
        <v>33</v>
      </c>
      <c r="D2">
        <v>9</v>
      </c>
      <c r="E2">
        <v>117</v>
      </c>
      <c r="I2">
        <v>1.972</v>
      </c>
      <c r="J2">
        <v>15</v>
      </c>
      <c r="K2">
        <f>SUM(E2:J2)*D2</f>
        <v>1205.7479999999998</v>
      </c>
      <c r="M2" t="s">
        <v>112</v>
      </c>
      <c r="N2" t="s">
        <v>1</v>
      </c>
      <c r="O2" s="1" t="s">
        <v>33</v>
      </c>
      <c r="P2">
        <v>9</v>
      </c>
      <c r="Q2">
        <v>117</v>
      </c>
      <c r="U2">
        <v>1.972</v>
      </c>
      <c r="V2">
        <v>15</v>
      </c>
      <c r="W2">
        <f>SUM(Q2:V2)*P2</f>
        <v>1205.7479999999998</v>
      </c>
      <c r="Y2" t="s">
        <v>112</v>
      </c>
      <c r="Z2" t="s">
        <v>1</v>
      </c>
      <c r="AA2" s="1" t="s">
        <v>32</v>
      </c>
      <c r="AB2">
        <v>0</v>
      </c>
      <c r="AC2">
        <v>107</v>
      </c>
      <c r="AG2">
        <v>1.972</v>
      </c>
      <c r="AH2">
        <v>15</v>
      </c>
      <c r="AI2">
        <f>SUM(AC2:AH2)*AB2</f>
        <v>0</v>
      </c>
      <c r="AK2" t="s">
        <v>112</v>
      </c>
      <c r="AL2" t="s">
        <v>1</v>
      </c>
      <c r="AM2" s="1" t="s">
        <v>33</v>
      </c>
      <c r="AN2">
        <v>8</v>
      </c>
      <c r="AO2">
        <v>117</v>
      </c>
      <c r="AS2">
        <v>3.98</v>
      </c>
      <c r="AT2">
        <v>15</v>
      </c>
      <c r="AU2">
        <f>SUM(AO2:AT2)*AN2</f>
        <v>1087.8400000000001</v>
      </c>
      <c r="AW2" t="s">
        <v>112</v>
      </c>
      <c r="AX2" t="s">
        <v>1</v>
      </c>
      <c r="AY2" s="1" t="s">
        <v>33</v>
      </c>
      <c r="AZ2">
        <v>8</v>
      </c>
      <c r="BA2">
        <v>117</v>
      </c>
      <c r="BE2">
        <v>3.98</v>
      </c>
      <c r="BF2">
        <v>15</v>
      </c>
      <c r="BG2">
        <f>SUM(BA2:BF2)*AZ2</f>
        <v>1087.8400000000001</v>
      </c>
      <c r="BI2" t="s">
        <v>112</v>
      </c>
      <c r="BJ2" t="s">
        <v>1</v>
      </c>
      <c r="BK2" s="1" t="s">
        <v>33</v>
      </c>
      <c r="BL2">
        <v>8</v>
      </c>
      <c r="BM2">
        <v>117</v>
      </c>
      <c r="BQ2">
        <v>3.98</v>
      </c>
      <c r="BR2">
        <v>15</v>
      </c>
      <c r="BS2">
        <f>SUM(BM2:BR2)*BL2</f>
        <v>1087.8400000000001</v>
      </c>
    </row>
    <row r="3" spans="1:71">
      <c r="A3">
        <f>K63</f>
        <v>1990.3350888888872</v>
      </c>
      <c r="C3" s="3" t="s">
        <v>49</v>
      </c>
      <c r="D3">
        <v>11</v>
      </c>
      <c r="E3">
        <v>117</v>
      </c>
      <c r="G3">
        <f>(5/12-41.384/36/12)</f>
        <v>0.32087037037037036</v>
      </c>
      <c r="I3">
        <v>2.4180000000000001</v>
      </c>
      <c r="J3">
        <v>15</v>
      </c>
      <c r="K3">
        <f t="shared" ref="K3:K7" si="0">SUM(E3:J3)*D3</f>
        <v>1482.1275740740739</v>
      </c>
      <c r="M3">
        <f>W63</f>
        <v>1850.3350888888872</v>
      </c>
      <c r="O3" s="3" t="s">
        <v>49</v>
      </c>
      <c r="P3">
        <v>11</v>
      </c>
      <c r="Q3">
        <v>117</v>
      </c>
      <c r="S3">
        <f>(5/12-41.384/36/12)</f>
        <v>0.32087037037037036</v>
      </c>
      <c r="U3">
        <v>2.4180000000000001</v>
      </c>
      <c r="V3">
        <v>15</v>
      </c>
      <c r="W3">
        <f t="shared" ref="W3:W7" si="1">SUM(Q3:V3)*P3</f>
        <v>1482.1275740740739</v>
      </c>
      <c r="Y3">
        <f>AI58</f>
        <v>1565.8510740740749</v>
      </c>
      <c r="AA3" s="1" t="s">
        <v>33</v>
      </c>
      <c r="AB3">
        <v>12</v>
      </c>
      <c r="AC3">
        <v>117</v>
      </c>
      <c r="AE3">
        <f>(5/12-41.384/36/12)</f>
        <v>0.32087037037037036</v>
      </c>
      <c r="AG3">
        <v>2.4180000000000001</v>
      </c>
      <c r="AH3">
        <v>15</v>
      </c>
      <c r="AI3">
        <f t="shared" ref="AI3:AI7" si="2">SUM(AC3:AH3)*AB3</f>
        <v>1616.8664444444444</v>
      </c>
      <c r="AK3">
        <f>AU63</f>
        <v>1715.5517777777786</v>
      </c>
      <c r="AM3" s="3" t="s">
        <v>49</v>
      </c>
      <c r="AN3">
        <v>10</v>
      </c>
      <c r="AO3">
        <v>117</v>
      </c>
      <c r="AQ3">
        <f>(5/12-41.384/36/12)</f>
        <v>0.32087037037037036</v>
      </c>
      <c r="AS3">
        <v>4.1100000000000003</v>
      </c>
      <c r="AT3">
        <v>15</v>
      </c>
      <c r="AU3">
        <f t="shared" ref="AU3:AU7" si="3">SUM(AO3:AT3)*AN3</f>
        <v>1364.3087037037037</v>
      </c>
      <c r="AW3">
        <f>BG63</f>
        <v>1629.4598148148125</v>
      </c>
      <c r="AY3" s="3" t="s">
        <v>49</v>
      </c>
      <c r="AZ3">
        <v>10</v>
      </c>
      <c r="BA3">
        <v>117</v>
      </c>
      <c r="BC3">
        <f>(5/12-41.384/36/12)</f>
        <v>0.32087037037037036</v>
      </c>
      <c r="BE3">
        <v>4.1100000000000003</v>
      </c>
      <c r="BF3">
        <v>15</v>
      </c>
      <c r="BG3">
        <f t="shared" ref="BG3:BG7" si="4">SUM(BA3:BF3)*AZ3</f>
        <v>1364.3087037037037</v>
      </c>
      <c r="BI3">
        <f>BS65</f>
        <v>1429.3243333333321</v>
      </c>
      <c r="BK3" s="3" t="s">
        <v>49</v>
      </c>
      <c r="BL3">
        <v>10</v>
      </c>
      <c r="BM3">
        <v>117</v>
      </c>
      <c r="BO3">
        <f>(5/12-41.384/36/12)</f>
        <v>0.32087037037037036</v>
      </c>
      <c r="BQ3">
        <v>4.1100000000000003</v>
      </c>
      <c r="BR3">
        <v>15</v>
      </c>
      <c r="BS3">
        <f t="shared" ref="BS3:BS7" si="5">SUM(BM3:BR3)*BL3</f>
        <v>1364.3087037037037</v>
      </c>
    </row>
    <row r="4" spans="1:71">
      <c r="A4" t="s">
        <v>142</v>
      </c>
      <c r="C4" s="3" t="s">
        <v>34</v>
      </c>
      <c r="D4">
        <v>5</v>
      </c>
      <c r="E4">
        <v>117</v>
      </c>
      <c r="G4">
        <f t="shared" ref="G4:G8" si="6">(5/12-41.384/36/12)</f>
        <v>0.32087037037037036</v>
      </c>
      <c r="I4">
        <v>3.0609999999999999</v>
      </c>
      <c r="J4">
        <v>15</v>
      </c>
      <c r="K4">
        <f t="shared" si="0"/>
        <v>676.90935185185185</v>
      </c>
      <c r="M4" t="s">
        <v>141</v>
      </c>
      <c r="O4" s="3" t="s">
        <v>34</v>
      </c>
      <c r="P4">
        <v>5</v>
      </c>
      <c r="Q4">
        <v>117</v>
      </c>
      <c r="S4">
        <f t="shared" ref="S4:S8" si="7">(5/12-41.384/36/12)</f>
        <v>0.32087037037037036</v>
      </c>
      <c r="U4">
        <v>3.0609999999999999</v>
      </c>
      <c r="V4">
        <v>15</v>
      </c>
      <c r="W4">
        <f t="shared" si="1"/>
        <v>676.90935185185185</v>
      </c>
      <c r="Y4" t="s">
        <v>127</v>
      </c>
      <c r="AA4" s="3" t="s">
        <v>49</v>
      </c>
      <c r="AB4">
        <v>8</v>
      </c>
      <c r="AC4">
        <v>117</v>
      </c>
      <c r="AE4">
        <f t="shared" ref="AE4:AE8" si="8">(5/12-41.384/36/12)</f>
        <v>0.32087037037037036</v>
      </c>
      <c r="AG4">
        <v>3.0609999999999999</v>
      </c>
      <c r="AH4">
        <v>15</v>
      </c>
      <c r="AI4">
        <f t="shared" si="2"/>
        <v>1083.0549629629629</v>
      </c>
      <c r="AK4" t="s">
        <v>142</v>
      </c>
      <c r="AM4" s="3" t="s">
        <v>34</v>
      </c>
      <c r="AN4">
        <v>5</v>
      </c>
      <c r="AO4">
        <v>117</v>
      </c>
      <c r="AQ4">
        <f t="shared" ref="AQ4:AQ8" si="9">(5/12-41.384/36/12)</f>
        <v>0.32087037037037036</v>
      </c>
      <c r="AS4">
        <v>4.1900000000000004</v>
      </c>
      <c r="AT4">
        <v>15</v>
      </c>
      <c r="AU4">
        <f t="shared" si="3"/>
        <v>682.55435185185183</v>
      </c>
      <c r="AW4" t="s">
        <v>142</v>
      </c>
      <c r="AY4" s="3" t="s">
        <v>34</v>
      </c>
      <c r="AZ4">
        <v>5</v>
      </c>
      <c r="BA4">
        <v>117</v>
      </c>
      <c r="BC4">
        <f t="shared" ref="BC4:BC8" si="10">(5/12-41.384/36/12)</f>
        <v>0.32087037037037036</v>
      </c>
      <c r="BE4">
        <v>4.1900000000000004</v>
      </c>
      <c r="BF4">
        <v>15</v>
      </c>
      <c r="BG4">
        <f t="shared" si="4"/>
        <v>682.55435185185183</v>
      </c>
      <c r="BI4" t="s">
        <v>142</v>
      </c>
      <c r="BK4" s="3" t="s">
        <v>34</v>
      </c>
      <c r="BL4">
        <v>5</v>
      </c>
      <c r="BM4">
        <v>117</v>
      </c>
      <c r="BO4">
        <f t="shared" ref="BO4:BO8" si="11">(5/12-41.384/36/12)</f>
        <v>0.32087037037037036</v>
      </c>
      <c r="BQ4">
        <v>4.1900000000000004</v>
      </c>
      <c r="BR4">
        <v>15</v>
      </c>
      <c r="BS4">
        <f t="shared" si="5"/>
        <v>682.55435185185183</v>
      </c>
    </row>
    <row r="5" spans="1:71">
      <c r="C5" s="1" t="s">
        <v>122</v>
      </c>
      <c r="D5">
        <v>5</v>
      </c>
      <c r="E5">
        <v>117</v>
      </c>
      <c r="G5">
        <f t="shared" si="6"/>
        <v>0.32087037037037036</v>
      </c>
      <c r="H5">
        <f>(3-30/20/12-9/12)</f>
        <v>2.125</v>
      </c>
      <c r="I5">
        <v>2.8912</v>
      </c>
      <c r="J5">
        <v>15</v>
      </c>
      <c r="K5">
        <f t="shared" si="0"/>
        <v>686.68535185185192</v>
      </c>
      <c r="O5" s="1" t="s">
        <v>122</v>
      </c>
      <c r="P5">
        <v>5</v>
      </c>
      <c r="Q5">
        <v>117</v>
      </c>
      <c r="S5">
        <f t="shared" si="7"/>
        <v>0.32087037037037036</v>
      </c>
      <c r="T5">
        <f>(3-30/20/12-9/12)</f>
        <v>2.125</v>
      </c>
      <c r="U5">
        <v>2.8912</v>
      </c>
      <c r="V5">
        <v>15</v>
      </c>
      <c r="W5">
        <f t="shared" si="1"/>
        <v>686.68535185185192</v>
      </c>
      <c r="Y5" t="s">
        <v>126</v>
      </c>
      <c r="AA5" s="1" t="s">
        <v>122</v>
      </c>
      <c r="AB5">
        <v>5</v>
      </c>
      <c r="AC5">
        <v>117</v>
      </c>
      <c r="AE5">
        <f t="shared" si="8"/>
        <v>0.32087037037037036</v>
      </c>
      <c r="AF5">
        <f>(3-30/20/12-9/12)</f>
        <v>2.125</v>
      </c>
      <c r="AG5">
        <v>2.8912</v>
      </c>
      <c r="AH5">
        <v>15</v>
      </c>
      <c r="AI5">
        <f t="shared" si="2"/>
        <v>686.68535185185192</v>
      </c>
      <c r="AM5" s="1" t="s">
        <v>122</v>
      </c>
      <c r="AN5">
        <v>5</v>
      </c>
      <c r="AO5">
        <v>117</v>
      </c>
      <c r="AQ5">
        <f t="shared" si="9"/>
        <v>0.32087037037037036</v>
      </c>
      <c r="AR5">
        <f>(3-30/20/12-9/12)</f>
        <v>2.125</v>
      </c>
      <c r="AS5">
        <v>4.1900000000000004</v>
      </c>
      <c r="AT5">
        <v>15</v>
      </c>
      <c r="AU5">
        <f t="shared" si="3"/>
        <v>693.17935185185183</v>
      </c>
      <c r="AY5" s="1" t="s">
        <v>122</v>
      </c>
      <c r="AZ5">
        <v>4</v>
      </c>
      <c r="BA5">
        <v>117</v>
      </c>
      <c r="BC5">
        <f t="shared" si="10"/>
        <v>0.32087037037037036</v>
      </c>
      <c r="BD5">
        <f>(3-30/20/12-9/12)</f>
        <v>2.125</v>
      </c>
      <c r="BE5">
        <v>4.1900000000000004</v>
      </c>
      <c r="BF5">
        <v>15</v>
      </c>
      <c r="BG5">
        <f t="shared" si="4"/>
        <v>554.54348148148142</v>
      </c>
      <c r="BK5" s="1" t="s">
        <v>122</v>
      </c>
      <c r="BL5">
        <v>4</v>
      </c>
      <c r="BM5">
        <v>117</v>
      </c>
      <c r="BO5">
        <f t="shared" si="11"/>
        <v>0.32087037037037036</v>
      </c>
      <c r="BP5">
        <f>(3-30/20/12-9/12)</f>
        <v>2.125</v>
      </c>
      <c r="BQ5">
        <v>4.1900000000000004</v>
      </c>
      <c r="BR5">
        <v>15</v>
      </c>
      <c r="BS5">
        <f t="shared" si="5"/>
        <v>554.54348148148142</v>
      </c>
    </row>
    <row r="6" spans="1:71">
      <c r="C6" s="1" t="s">
        <v>35</v>
      </c>
      <c r="D6">
        <v>7</v>
      </c>
      <c r="E6">
        <v>117</v>
      </c>
      <c r="G6">
        <f t="shared" si="6"/>
        <v>0.32087037037037036</v>
      </c>
      <c r="H6">
        <f>(3-30/20/12-9/12)</f>
        <v>2.125</v>
      </c>
      <c r="I6">
        <v>3.4095</v>
      </c>
      <c r="J6">
        <v>15</v>
      </c>
      <c r="K6">
        <f t="shared" si="0"/>
        <v>964.98759259259259</v>
      </c>
      <c r="O6" s="1" t="s">
        <v>35</v>
      </c>
      <c r="P6">
        <v>7</v>
      </c>
      <c r="Q6">
        <v>117</v>
      </c>
      <c r="S6">
        <f t="shared" si="7"/>
        <v>0.32087037037037036</v>
      </c>
      <c r="T6">
        <f>(3-30/20/12-9/12)</f>
        <v>2.125</v>
      </c>
      <c r="U6">
        <v>3.4095</v>
      </c>
      <c r="V6">
        <v>15</v>
      </c>
      <c r="W6">
        <f t="shared" si="1"/>
        <v>964.98759259259259</v>
      </c>
      <c r="AA6" s="1" t="s">
        <v>35</v>
      </c>
      <c r="AB6">
        <v>7</v>
      </c>
      <c r="AC6">
        <v>117</v>
      </c>
      <c r="AE6">
        <f t="shared" si="8"/>
        <v>0.32087037037037036</v>
      </c>
      <c r="AF6">
        <f>(3-30/20/12-9/12)</f>
        <v>2.125</v>
      </c>
      <c r="AG6">
        <v>3.4095</v>
      </c>
      <c r="AH6">
        <v>15</v>
      </c>
      <c r="AI6">
        <f t="shared" si="2"/>
        <v>964.98759259259259</v>
      </c>
      <c r="AM6" s="1" t="s">
        <v>35</v>
      </c>
      <c r="AN6">
        <v>7</v>
      </c>
      <c r="AO6">
        <v>117</v>
      </c>
      <c r="AQ6">
        <f t="shared" si="9"/>
        <v>0.32087037037037036</v>
      </c>
      <c r="AR6">
        <f>(3-30/20/12-9/12)</f>
        <v>2.125</v>
      </c>
      <c r="AS6">
        <v>5.72</v>
      </c>
      <c r="AT6">
        <v>15</v>
      </c>
      <c r="AU6">
        <f t="shared" si="3"/>
        <v>981.16109259259269</v>
      </c>
      <c r="AY6" s="1" t="s">
        <v>35</v>
      </c>
      <c r="AZ6">
        <v>7</v>
      </c>
      <c r="BA6">
        <v>117</v>
      </c>
      <c r="BC6">
        <f t="shared" si="10"/>
        <v>0.32087037037037036</v>
      </c>
      <c r="BD6">
        <f>(3-30/20/12-9/12)</f>
        <v>2.125</v>
      </c>
      <c r="BE6">
        <v>5.72</v>
      </c>
      <c r="BF6">
        <v>15</v>
      </c>
      <c r="BG6">
        <f t="shared" si="4"/>
        <v>981.16109259259269</v>
      </c>
      <c r="BK6" s="1" t="s">
        <v>35</v>
      </c>
      <c r="BL6">
        <v>7</v>
      </c>
      <c r="BM6">
        <v>117</v>
      </c>
      <c r="BO6">
        <f t="shared" si="11"/>
        <v>0.32087037037037036</v>
      </c>
      <c r="BP6">
        <f>(3-30/20/12-9/12)</f>
        <v>2.125</v>
      </c>
      <c r="BQ6">
        <v>5.72</v>
      </c>
      <c r="BR6">
        <v>15</v>
      </c>
      <c r="BS6">
        <f t="shared" si="5"/>
        <v>981.16109259259269</v>
      </c>
    </row>
    <row r="7" spans="1:71">
      <c r="C7" s="3" t="s">
        <v>36</v>
      </c>
      <c r="D7">
        <v>3</v>
      </c>
      <c r="E7">
        <v>117</v>
      </c>
      <c r="G7">
        <f t="shared" si="6"/>
        <v>0.32087037037037036</v>
      </c>
      <c r="H7">
        <f>(3-30/20/12-9/12)</f>
        <v>2.125</v>
      </c>
      <c r="I7">
        <v>4.0949999999999998</v>
      </c>
      <c r="J7">
        <v>15</v>
      </c>
      <c r="K7">
        <f t="shared" si="0"/>
        <v>415.62261111111115</v>
      </c>
      <c r="O7" s="3" t="s">
        <v>36</v>
      </c>
      <c r="P7">
        <v>3</v>
      </c>
      <c r="Q7">
        <v>117</v>
      </c>
      <c r="S7">
        <f t="shared" si="7"/>
        <v>0.32087037037037036</v>
      </c>
      <c r="T7">
        <f>(3-30/20/12-9/12)</f>
        <v>2.125</v>
      </c>
      <c r="U7">
        <v>4.0949999999999998</v>
      </c>
      <c r="V7">
        <v>15</v>
      </c>
      <c r="W7">
        <f t="shared" si="1"/>
        <v>415.62261111111115</v>
      </c>
      <c r="AA7" s="3" t="s">
        <v>36</v>
      </c>
      <c r="AB7">
        <v>0</v>
      </c>
      <c r="AC7">
        <v>117</v>
      </c>
      <c r="AE7">
        <f t="shared" si="8"/>
        <v>0.32087037037037036</v>
      </c>
      <c r="AF7">
        <f>(3-30/20/12-9/12)</f>
        <v>2.125</v>
      </c>
      <c r="AG7">
        <v>4.0949999999999998</v>
      </c>
      <c r="AH7">
        <v>15</v>
      </c>
      <c r="AI7">
        <f t="shared" si="2"/>
        <v>0</v>
      </c>
      <c r="AM7" s="3" t="s">
        <v>36</v>
      </c>
      <c r="AN7">
        <v>3</v>
      </c>
      <c r="AO7">
        <v>117</v>
      </c>
      <c r="AQ7">
        <f t="shared" si="9"/>
        <v>0.32087037037037036</v>
      </c>
      <c r="AR7">
        <f>(3-30/20/12-9/12)</f>
        <v>2.125</v>
      </c>
      <c r="AS7">
        <v>4.75</v>
      </c>
      <c r="AT7">
        <v>15</v>
      </c>
      <c r="AU7">
        <f t="shared" si="3"/>
        <v>417.58761111111107</v>
      </c>
      <c r="AY7" s="3" t="s">
        <v>36</v>
      </c>
      <c r="AZ7">
        <v>3</v>
      </c>
      <c r="BA7">
        <v>117</v>
      </c>
      <c r="BC7">
        <f t="shared" si="10"/>
        <v>0.32087037037037036</v>
      </c>
      <c r="BD7">
        <f>(3-30/20/12-9/12)</f>
        <v>2.125</v>
      </c>
      <c r="BE7">
        <v>4.75</v>
      </c>
      <c r="BF7">
        <v>15</v>
      </c>
      <c r="BG7">
        <f t="shared" si="4"/>
        <v>417.58761111111107</v>
      </c>
      <c r="BK7" s="3" t="s">
        <v>36</v>
      </c>
      <c r="BL7">
        <v>3</v>
      </c>
      <c r="BM7">
        <v>117</v>
      </c>
      <c r="BO7">
        <f t="shared" si="11"/>
        <v>0.32087037037037036</v>
      </c>
      <c r="BP7">
        <f>(3-30/20/12-9/12)</f>
        <v>2.125</v>
      </c>
      <c r="BQ7">
        <v>4.75</v>
      </c>
      <c r="BR7">
        <v>15</v>
      </c>
      <c r="BS7">
        <f t="shared" si="5"/>
        <v>417.58761111111107</v>
      </c>
    </row>
    <row r="8" spans="1:71">
      <c r="C8" s="1" t="s">
        <v>44</v>
      </c>
      <c r="D8">
        <v>10</v>
      </c>
      <c r="E8">
        <v>117</v>
      </c>
      <c r="G8">
        <f t="shared" si="6"/>
        <v>0.32087037037037036</v>
      </c>
      <c r="H8">
        <f>(3-30/20/12-9/12)</f>
        <v>2.125</v>
      </c>
      <c r="I8">
        <v>1.2258</v>
      </c>
      <c r="J8">
        <v>15</v>
      </c>
      <c r="K8">
        <f>SUM(E8:J8)*D8</f>
        <v>1356.7167037037038</v>
      </c>
      <c r="O8" s="1" t="s">
        <v>44</v>
      </c>
      <c r="P8">
        <v>10</v>
      </c>
      <c r="Q8">
        <v>117</v>
      </c>
      <c r="S8">
        <f t="shared" si="7"/>
        <v>0.32087037037037036</v>
      </c>
      <c r="T8">
        <f>(3-30/20/12-9/12)</f>
        <v>2.125</v>
      </c>
      <c r="U8">
        <v>1.2258</v>
      </c>
      <c r="V8">
        <v>15</v>
      </c>
      <c r="W8">
        <f>SUM(Q8:V8)*P8</f>
        <v>1356.7167037037038</v>
      </c>
      <c r="AA8" s="1" t="s">
        <v>44</v>
      </c>
      <c r="AB8">
        <v>10</v>
      </c>
      <c r="AC8">
        <v>117</v>
      </c>
      <c r="AE8">
        <f t="shared" si="8"/>
        <v>0.32087037037037036</v>
      </c>
      <c r="AF8">
        <f>(3-30/20/12-9/12)</f>
        <v>2.125</v>
      </c>
      <c r="AG8">
        <v>1.2258</v>
      </c>
      <c r="AH8">
        <v>15</v>
      </c>
      <c r="AI8">
        <f>SUM(AC8:AH8)*AB8</f>
        <v>1356.7167037037038</v>
      </c>
      <c r="AM8" s="1" t="s">
        <v>44</v>
      </c>
      <c r="AN8">
        <v>9</v>
      </c>
      <c r="AO8">
        <v>117</v>
      </c>
      <c r="AQ8">
        <f t="shared" si="9"/>
        <v>0.32087037037037036</v>
      </c>
      <c r="AR8">
        <f>(3-30/20/12-9/12)</f>
        <v>2.125</v>
      </c>
      <c r="AS8">
        <v>5.35</v>
      </c>
      <c r="AT8">
        <v>15</v>
      </c>
      <c r="AU8">
        <f>SUM(AO8:AT8)*AN8</f>
        <v>1258.1628333333333</v>
      </c>
      <c r="AY8" s="1" t="s">
        <v>44</v>
      </c>
      <c r="AZ8">
        <v>10</v>
      </c>
      <c r="BA8">
        <v>117</v>
      </c>
      <c r="BC8">
        <f t="shared" si="10"/>
        <v>0.32087037037037036</v>
      </c>
      <c r="BD8">
        <f>(3-30/20/12-9/12)</f>
        <v>2.125</v>
      </c>
      <c r="BE8">
        <v>5.35</v>
      </c>
      <c r="BF8">
        <v>15</v>
      </c>
      <c r="BG8">
        <f>SUM(BA8:BF8)*AZ8</f>
        <v>1397.9587037037038</v>
      </c>
      <c r="BK8" s="1" t="s">
        <v>44</v>
      </c>
      <c r="BL8">
        <v>10</v>
      </c>
      <c r="BM8">
        <v>117</v>
      </c>
      <c r="BO8">
        <f t="shared" si="11"/>
        <v>0.32087037037037036</v>
      </c>
      <c r="BP8">
        <f>(3-30/20/12-9/12)</f>
        <v>2.125</v>
      </c>
      <c r="BQ8">
        <v>5.35</v>
      </c>
      <c r="BR8">
        <v>15</v>
      </c>
      <c r="BS8">
        <f>SUM(BM8:BR8)*BL8</f>
        <v>1397.9587037037038</v>
      </c>
    </row>
    <row r="9" spans="1:71">
      <c r="C9" t="s">
        <v>30</v>
      </c>
      <c r="D9">
        <v>7</v>
      </c>
      <c r="E9">
        <f>E7*0.05</f>
        <v>5.8500000000000005</v>
      </c>
      <c r="K9">
        <f>-SUM(E9:J9)*D9</f>
        <v>-40.950000000000003</v>
      </c>
      <c r="O9" t="s">
        <v>30</v>
      </c>
      <c r="P9">
        <v>7</v>
      </c>
      <c r="Q9">
        <f>Q7*0.05</f>
        <v>5.8500000000000005</v>
      </c>
      <c r="W9">
        <f>-SUM(Q9:V9)*P9</f>
        <v>-40.950000000000003</v>
      </c>
      <c r="AA9" t="s">
        <v>30</v>
      </c>
      <c r="AB9">
        <v>10</v>
      </c>
      <c r="AC9">
        <f>AC7*0.05</f>
        <v>5.8500000000000005</v>
      </c>
      <c r="AI9">
        <f>-SUM(AC9:AH9)*AB9</f>
        <v>-58.500000000000007</v>
      </c>
      <c r="AM9" t="s">
        <v>30</v>
      </c>
      <c r="AN9">
        <f>1+2+4</f>
        <v>7</v>
      </c>
      <c r="AO9">
        <f>AO7*0.05</f>
        <v>5.8500000000000005</v>
      </c>
      <c r="AU9">
        <f>-SUM(AO9:AT9)*AN9</f>
        <v>-40.950000000000003</v>
      </c>
      <c r="AY9" t="s">
        <v>30</v>
      </c>
      <c r="AZ9">
        <f>1+2+4+4</f>
        <v>11</v>
      </c>
      <c r="BA9">
        <f>BA7*0.05</f>
        <v>5.8500000000000005</v>
      </c>
      <c r="BG9">
        <f>-SUM(BA9:BF9)*AZ9</f>
        <v>-64.350000000000009</v>
      </c>
      <c r="BK9" t="s">
        <v>30</v>
      </c>
      <c r="BL9">
        <f>1+2+4+4+4</f>
        <v>15</v>
      </c>
      <c r="BM9">
        <f>BM7*0.05</f>
        <v>5.8500000000000005</v>
      </c>
      <c r="BS9">
        <f>-SUM(BM9:BR9)*BL9</f>
        <v>-87.750000000000014</v>
      </c>
    </row>
    <row r="10" spans="1:71">
      <c r="C10" t="s">
        <v>18</v>
      </c>
      <c r="D10">
        <v>25</v>
      </c>
      <c r="K10">
        <f>6*D10</f>
        <v>150</v>
      </c>
      <c r="O10" t="s">
        <v>18</v>
      </c>
      <c r="P10">
        <v>25</v>
      </c>
      <c r="W10">
        <f>6*P10</f>
        <v>150</v>
      </c>
      <c r="AA10" t="s">
        <v>18</v>
      </c>
      <c r="AB10">
        <v>21</v>
      </c>
      <c r="AI10">
        <f>6*AB10</f>
        <v>126</v>
      </c>
      <c r="AM10" t="s">
        <v>18</v>
      </c>
      <c r="AN10">
        <v>21.5</v>
      </c>
      <c r="AU10">
        <f>6*AN10</f>
        <v>129</v>
      </c>
      <c r="AY10" t="s">
        <v>18</v>
      </c>
      <c r="AZ10">
        <v>21.5</v>
      </c>
      <c r="BG10">
        <f>6*AZ10</f>
        <v>129</v>
      </c>
      <c r="BK10" t="s">
        <v>18</v>
      </c>
      <c r="BL10">
        <v>21.5</v>
      </c>
      <c r="BS10">
        <f>6*BL10</f>
        <v>129</v>
      </c>
    </row>
    <row r="11" spans="1:71">
      <c r="C11" t="s">
        <v>26</v>
      </c>
      <c r="D11">
        <v>0</v>
      </c>
      <c r="F11" s="2"/>
      <c r="K11">
        <f>5*D11</f>
        <v>0</v>
      </c>
      <c r="O11" t="s">
        <v>26</v>
      </c>
      <c r="P11">
        <v>0</v>
      </c>
      <c r="R11" s="2"/>
      <c r="W11">
        <f>5*P11</f>
        <v>0</v>
      </c>
      <c r="AA11" t="s">
        <v>26</v>
      </c>
      <c r="AB11">
        <v>5</v>
      </c>
      <c r="AD11" s="2"/>
      <c r="AI11">
        <f>5*AB11</f>
        <v>25</v>
      </c>
      <c r="AM11" t="s">
        <v>26</v>
      </c>
      <c r="AN11">
        <v>2</v>
      </c>
      <c r="AP11" s="2"/>
      <c r="AU11">
        <f>5*AN11</f>
        <v>10</v>
      </c>
      <c r="AY11" t="s">
        <v>26</v>
      </c>
      <c r="AZ11">
        <v>3</v>
      </c>
      <c r="BB11" s="2"/>
      <c r="BG11">
        <f>5*AZ11</f>
        <v>15</v>
      </c>
      <c r="BK11" t="s">
        <v>26</v>
      </c>
      <c r="BL11">
        <v>3</v>
      </c>
      <c r="BN11" s="2"/>
      <c r="BS11">
        <f>5*BL11</f>
        <v>15</v>
      </c>
    </row>
    <row r="12" spans="1:71">
      <c r="B12" t="s">
        <v>8</v>
      </c>
      <c r="C12" t="s">
        <v>11</v>
      </c>
      <c r="D12">
        <v>114</v>
      </c>
      <c r="E12">
        <v>8</v>
      </c>
      <c r="K12">
        <f>D12*E12-I12</f>
        <v>912</v>
      </c>
      <c r="N12" t="s">
        <v>8</v>
      </c>
      <c r="O12" t="s">
        <v>11</v>
      </c>
      <c r="P12">
        <v>114</v>
      </c>
      <c r="Q12">
        <v>8</v>
      </c>
      <c r="W12">
        <f>P12*Q12-U12</f>
        <v>912</v>
      </c>
      <c r="Z12" t="s">
        <v>8</v>
      </c>
      <c r="AA12" t="s">
        <v>11</v>
      </c>
      <c r="AB12">
        <v>55</v>
      </c>
      <c r="AC12">
        <v>8</v>
      </c>
      <c r="AI12">
        <f>AB12*AC12-AG12</f>
        <v>440</v>
      </c>
      <c r="AL12" t="s">
        <v>8</v>
      </c>
      <c r="AM12" t="s">
        <v>11</v>
      </c>
      <c r="AN12">
        <v>118</v>
      </c>
      <c r="AO12">
        <v>8</v>
      </c>
      <c r="AS12">
        <v>0.6</v>
      </c>
      <c r="AU12">
        <f>SUM(AO12:AT12)*AN12</f>
        <v>1014.8</v>
      </c>
      <c r="AX12" t="s">
        <v>8</v>
      </c>
      <c r="AY12" t="s">
        <v>11</v>
      </c>
      <c r="AZ12">
        <v>122</v>
      </c>
      <c r="BA12">
        <v>8</v>
      </c>
      <c r="BE12">
        <v>0.6</v>
      </c>
      <c r="BG12">
        <f>SUM(BA12:BF12)*AZ12</f>
        <v>1049.2</v>
      </c>
      <c r="BJ12" t="s">
        <v>8</v>
      </c>
      <c r="BK12" t="s">
        <v>11</v>
      </c>
      <c r="BL12">
        <v>112</v>
      </c>
      <c r="BM12">
        <v>8</v>
      </c>
      <c r="BQ12">
        <v>0.6</v>
      </c>
      <c r="BS12">
        <f>SUM(BM12:BR12)*BL12</f>
        <v>963.19999999999993</v>
      </c>
    </row>
    <row r="13" spans="1:71">
      <c r="B13" t="s">
        <v>9</v>
      </c>
      <c r="C13" t="s">
        <v>40</v>
      </c>
      <c r="D13">
        <v>19</v>
      </c>
      <c r="E13">
        <v>16.8</v>
      </c>
      <c r="G13">
        <f t="shared" ref="G13:G15" si="12">(5/12-41.384/36/12)</f>
        <v>0.32087037037037036</v>
      </c>
      <c r="I13">
        <v>0.7</v>
      </c>
      <c r="K13">
        <f t="shared" ref="K13:K15" si="13">SUM(E13:J13)*D13</f>
        <v>338.59653703703708</v>
      </c>
      <c r="N13" t="s">
        <v>9</v>
      </c>
      <c r="O13" t="s">
        <v>40</v>
      </c>
      <c r="P13">
        <v>19</v>
      </c>
      <c r="Q13">
        <v>16.8</v>
      </c>
      <c r="S13">
        <f t="shared" ref="S13:S15" si="14">(5/12-41.384/36/12)</f>
        <v>0.32087037037037036</v>
      </c>
      <c r="U13">
        <v>0.7</v>
      </c>
      <c r="W13">
        <f t="shared" ref="W13:W15" si="15">SUM(Q13:V13)*P13</f>
        <v>338.59653703703708</v>
      </c>
      <c r="Z13" t="s">
        <v>9</v>
      </c>
      <c r="AA13" t="s">
        <v>40</v>
      </c>
      <c r="AB13">
        <v>12</v>
      </c>
      <c r="AC13">
        <v>16.8</v>
      </c>
      <c r="AE13">
        <f t="shared" ref="AE13:AE15" si="16">(5/12-41.384/36/12)</f>
        <v>0.32087037037037036</v>
      </c>
      <c r="AG13">
        <v>0.7</v>
      </c>
      <c r="AI13">
        <f t="shared" ref="AI13:AI15" si="17">SUM(AC13:AH13)*AB13</f>
        <v>213.85044444444446</v>
      </c>
      <c r="AL13" t="s">
        <v>9</v>
      </c>
      <c r="AM13" t="s">
        <v>40</v>
      </c>
      <c r="AN13">
        <v>20</v>
      </c>
      <c r="AO13">
        <v>16.8</v>
      </c>
      <c r="AQ13">
        <f t="shared" ref="AQ13:AQ16" si="18">(5/12-41.384/36/12)</f>
        <v>0.32087037037037036</v>
      </c>
      <c r="AS13">
        <v>1.1299999999999999</v>
      </c>
      <c r="AU13">
        <f t="shared" ref="AU13:AU16" si="19">SUM(AO13:AT13)*AN13</f>
        <v>365.0174074074074</v>
      </c>
      <c r="AX13" t="s">
        <v>9</v>
      </c>
      <c r="AY13" t="s">
        <v>40</v>
      </c>
      <c r="AZ13">
        <v>18</v>
      </c>
      <c r="BA13">
        <v>16.8</v>
      </c>
      <c r="BC13">
        <f t="shared" ref="BC13:BC16" si="20">(5/12-41.384/36/12)</f>
        <v>0.32087037037037036</v>
      </c>
      <c r="BE13">
        <v>1.1299999999999999</v>
      </c>
      <c r="BG13">
        <f t="shared" ref="BG13:BG16" si="21">SUM(BA13:BF13)*AZ13</f>
        <v>328.51566666666668</v>
      </c>
      <c r="BK13" t="s">
        <v>149</v>
      </c>
      <c r="BL13">
        <v>10</v>
      </c>
      <c r="BM13">
        <v>12</v>
      </c>
      <c r="BQ13">
        <v>0.6</v>
      </c>
      <c r="BS13">
        <f>SUM(BM13:BR13)*BL13</f>
        <v>126</v>
      </c>
    </row>
    <row r="14" spans="1:71">
      <c r="C14" t="s">
        <v>53</v>
      </c>
      <c r="D14">
        <v>21</v>
      </c>
      <c r="E14">
        <v>25.2</v>
      </c>
      <c r="G14">
        <f t="shared" si="12"/>
        <v>0.32087037037037036</v>
      </c>
      <c r="I14">
        <v>1.04</v>
      </c>
      <c r="K14">
        <f t="shared" si="13"/>
        <v>557.77827777777782</v>
      </c>
      <c r="O14" t="s">
        <v>53</v>
      </c>
      <c r="P14">
        <v>21</v>
      </c>
      <c r="Q14">
        <v>25.2</v>
      </c>
      <c r="S14">
        <f t="shared" si="14"/>
        <v>0.32087037037037036</v>
      </c>
      <c r="U14">
        <v>1.04</v>
      </c>
      <c r="W14">
        <f t="shared" si="15"/>
        <v>557.77827777777782</v>
      </c>
      <c r="AA14" t="s">
        <v>53</v>
      </c>
      <c r="AB14">
        <v>26</v>
      </c>
      <c r="AC14">
        <v>25.2</v>
      </c>
      <c r="AE14">
        <f t="shared" si="16"/>
        <v>0.32087037037037036</v>
      </c>
      <c r="AG14">
        <v>1.04</v>
      </c>
      <c r="AI14">
        <f t="shared" si="17"/>
        <v>690.58262962962965</v>
      </c>
      <c r="AM14" t="s">
        <v>146</v>
      </c>
      <c r="AN14">
        <v>8</v>
      </c>
      <c r="AO14">
        <v>25.2</v>
      </c>
      <c r="AQ14">
        <f t="shared" si="18"/>
        <v>0.32087037037037036</v>
      </c>
      <c r="AS14">
        <v>1.72</v>
      </c>
      <c r="AU14">
        <f t="shared" si="19"/>
        <v>217.92696296296296</v>
      </c>
      <c r="AY14" t="s">
        <v>146</v>
      </c>
      <c r="AZ14">
        <v>8</v>
      </c>
      <c r="BA14">
        <v>25.2</v>
      </c>
      <c r="BC14">
        <f t="shared" si="20"/>
        <v>0.32087037037037036</v>
      </c>
      <c r="BE14">
        <v>1.72</v>
      </c>
      <c r="BG14">
        <f t="shared" si="21"/>
        <v>217.92696296296296</v>
      </c>
      <c r="BK14" t="s">
        <v>150</v>
      </c>
      <c r="BL14">
        <f>3+2+1+1.5+1</f>
        <v>8.5</v>
      </c>
      <c r="BM14">
        <v>3</v>
      </c>
      <c r="BS14">
        <f>SUM(BM14:BR14)*BL14</f>
        <v>25.5</v>
      </c>
    </row>
    <row r="15" spans="1:71">
      <c r="C15" t="s">
        <v>50</v>
      </c>
      <c r="D15">
        <v>24</v>
      </c>
      <c r="E15">
        <v>25.2</v>
      </c>
      <c r="G15">
        <f t="shared" si="12"/>
        <v>0.32087037037037036</v>
      </c>
      <c r="I15">
        <v>1.04</v>
      </c>
      <c r="K15">
        <f t="shared" si="13"/>
        <v>637.46088888888892</v>
      </c>
      <c r="O15" t="s">
        <v>50</v>
      </c>
      <c r="P15">
        <v>24</v>
      </c>
      <c r="Q15">
        <v>25.2</v>
      </c>
      <c r="S15">
        <f t="shared" si="14"/>
        <v>0.32087037037037036</v>
      </c>
      <c r="U15">
        <v>1.04</v>
      </c>
      <c r="W15">
        <f t="shared" si="15"/>
        <v>637.46088888888892</v>
      </c>
      <c r="AA15" t="s">
        <v>50</v>
      </c>
      <c r="AB15">
        <v>12</v>
      </c>
      <c r="AC15">
        <v>25.2</v>
      </c>
      <c r="AE15">
        <f t="shared" si="16"/>
        <v>0.32087037037037036</v>
      </c>
      <c r="AG15">
        <v>1.04</v>
      </c>
      <c r="AI15">
        <f t="shared" si="17"/>
        <v>318.73044444444446</v>
      </c>
      <c r="AM15" t="s">
        <v>53</v>
      </c>
      <c r="AN15">
        <v>12</v>
      </c>
      <c r="AO15">
        <v>25.2</v>
      </c>
      <c r="AQ15">
        <f t="shared" si="18"/>
        <v>0.32087037037037036</v>
      </c>
      <c r="AS15">
        <v>1.42</v>
      </c>
      <c r="AU15">
        <f t="shared" si="19"/>
        <v>323.29044444444446</v>
      </c>
      <c r="AY15" t="s">
        <v>53</v>
      </c>
      <c r="AZ15">
        <v>7</v>
      </c>
      <c r="BA15">
        <v>25.2</v>
      </c>
      <c r="BC15">
        <f t="shared" si="20"/>
        <v>0.32087037037037036</v>
      </c>
      <c r="BE15">
        <v>1.42</v>
      </c>
      <c r="BG15">
        <f t="shared" si="21"/>
        <v>188.58609259259259</v>
      </c>
      <c r="BJ15" t="s">
        <v>9</v>
      </c>
      <c r="BK15" t="s">
        <v>40</v>
      </c>
      <c r="BL15">
        <v>15</v>
      </c>
      <c r="BM15">
        <v>16.8</v>
      </c>
      <c r="BO15">
        <f t="shared" ref="BO15:BO18" si="22">(5/12-41.384/36/12)</f>
        <v>0.32087037037037036</v>
      </c>
      <c r="BQ15">
        <v>1.1299999999999999</v>
      </c>
      <c r="BS15">
        <f t="shared" ref="BS15:BS18" si="23">SUM(BM15:BR15)*BL15</f>
        <v>273.76305555555558</v>
      </c>
    </row>
    <row r="16" spans="1:71">
      <c r="C16" t="s">
        <v>18</v>
      </c>
      <c r="D16">
        <v>40</v>
      </c>
      <c r="K16">
        <f>D16*4</f>
        <v>160</v>
      </c>
      <c r="O16" t="s">
        <v>18</v>
      </c>
      <c r="P16">
        <v>40</v>
      </c>
      <c r="W16">
        <f>P16*4</f>
        <v>160</v>
      </c>
      <c r="AA16" t="s">
        <v>18</v>
      </c>
      <c r="AB16">
        <v>32</v>
      </c>
      <c r="AI16">
        <f>AB16*4</f>
        <v>128</v>
      </c>
      <c r="AM16" t="s">
        <v>50</v>
      </c>
      <c r="AN16">
        <v>23</v>
      </c>
      <c r="AO16">
        <v>25.2</v>
      </c>
      <c r="AQ16">
        <f t="shared" si="18"/>
        <v>0.32087037037037036</v>
      </c>
      <c r="AS16">
        <v>1.22</v>
      </c>
      <c r="AU16">
        <f t="shared" si="19"/>
        <v>615.04001851851854</v>
      </c>
      <c r="AY16" t="s">
        <v>50</v>
      </c>
      <c r="AZ16">
        <v>22</v>
      </c>
      <c r="BA16">
        <v>25.2</v>
      </c>
      <c r="BC16">
        <f t="shared" si="20"/>
        <v>0.32087037037037036</v>
      </c>
      <c r="BE16">
        <v>1.22</v>
      </c>
      <c r="BG16">
        <f t="shared" si="21"/>
        <v>588.29914814814811</v>
      </c>
      <c r="BK16" t="s">
        <v>146</v>
      </c>
      <c r="BL16">
        <v>8</v>
      </c>
      <c r="BM16">
        <v>25.2</v>
      </c>
      <c r="BO16">
        <f t="shared" si="22"/>
        <v>0.32087037037037036</v>
      </c>
      <c r="BQ16">
        <v>1.72</v>
      </c>
      <c r="BS16">
        <f t="shared" si="23"/>
        <v>217.92696296296296</v>
      </c>
    </row>
    <row r="17" spans="1:71">
      <c r="B17" t="s">
        <v>10</v>
      </c>
      <c r="C17" t="s">
        <v>130</v>
      </c>
      <c r="D17">
        <v>9</v>
      </c>
      <c r="E17">
        <v>25.8</v>
      </c>
      <c r="H17">
        <f t="shared" ref="H17:H24" si="24">(3-30/20/12-9/12)</f>
        <v>2.125</v>
      </c>
      <c r="I17">
        <v>0.4</v>
      </c>
      <c r="K17">
        <f t="shared" ref="K17:K23" si="25">SUM(E17:J17)*D17</f>
        <v>254.92499999999998</v>
      </c>
      <c r="N17" t="s">
        <v>10</v>
      </c>
      <c r="O17" t="s">
        <v>130</v>
      </c>
      <c r="P17">
        <v>9</v>
      </c>
      <c r="Q17">
        <v>25.8</v>
      </c>
      <c r="T17">
        <f t="shared" ref="T17:T24" si="26">(3-30/20/12-9/12)</f>
        <v>2.125</v>
      </c>
      <c r="U17">
        <v>0.4</v>
      </c>
      <c r="W17">
        <f t="shared" ref="W17:W23" si="27">SUM(Q17:V17)*P17</f>
        <v>254.92499999999998</v>
      </c>
      <c r="Z17" t="s">
        <v>10</v>
      </c>
      <c r="AA17" t="s">
        <v>56</v>
      </c>
      <c r="AB17">
        <v>24</v>
      </c>
      <c r="AC17">
        <v>26.4</v>
      </c>
      <c r="AF17">
        <f t="shared" ref="AF17:AF23" si="28">(3-30/20/12-9/12)</f>
        <v>2.125</v>
      </c>
      <c r="AG17">
        <v>0.4</v>
      </c>
      <c r="AI17">
        <f t="shared" ref="AI17:AI23" si="29">SUM(AC17:AH17)*AB17</f>
        <v>694.19999999999993</v>
      </c>
      <c r="AM17" t="s">
        <v>18</v>
      </c>
      <c r="AN17">
        <v>33.5</v>
      </c>
      <c r="AU17">
        <f>AN17*4</f>
        <v>134</v>
      </c>
      <c r="AY17" t="s">
        <v>18</v>
      </c>
      <c r="AZ17">
        <v>28.5</v>
      </c>
      <c r="BG17">
        <f>AZ17*4</f>
        <v>114</v>
      </c>
      <c r="BK17" t="s">
        <v>53</v>
      </c>
      <c r="BL17">
        <v>8</v>
      </c>
      <c r="BM17">
        <v>25.2</v>
      </c>
      <c r="BO17">
        <f t="shared" si="22"/>
        <v>0.32087037037037036</v>
      </c>
      <c r="BQ17">
        <v>1.42</v>
      </c>
      <c r="BS17">
        <f t="shared" si="23"/>
        <v>215.52696296296295</v>
      </c>
    </row>
    <row r="18" spans="1:71">
      <c r="C18" t="s">
        <v>56</v>
      </c>
      <c r="D18">
        <v>26</v>
      </c>
      <c r="E18">
        <v>25.8</v>
      </c>
      <c r="H18">
        <f t="shared" si="24"/>
        <v>2.125</v>
      </c>
      <c r="I18">
        <v>0.4</v>
      </c>
      <c r="K18">
        <f t="shared" si="25"/>
        <v>736.44999999999993</v>
      </c>
      <c r="O18" t="s">
        <v>56</v>
      </c>
      <c r="P18">
        <v>26</v>
      </c>
      <c r="Q18">
        <v>25.8</v>
      </c>
      <c r="T18">
        <f t="shared" si="26"/>
        <v>2.125</v>
      </c>
      <c r="U18">
        <v>0.4</v>
      </c>
      <c r="W18">
        <f t="shared" si="27"/>
        <v>736.44999999999993</v>
      </c>
      <c r="AA18" t="s">
        <v>110</v>
      </c>
      <c r="AB18">
        <v>8</v>
      </c>
      <c r="AC18">
        <v>26.4</v>
      </c>
      <c r="AF18">
        <f t="shared" si="28"/>
        <v>2.125</v>
      </c>
      <c r="AG18">
        <v>0.4</v>
      </c>
      <c r="AI18">
        <f t="shared" si="29"/>
        <v>231.39999999999998</v>
      </c>
      <c r="AL18" t="s">
        <v>10</v>
      </c>
      <c r="AM18" t="s">
        <v>130</v>
      </c>
      <c r="AN18">
        <v>12</v>
      </c>
      <c r="AO18">
        <v>25.8</v>
      </c>
      <c r="AR18">
        <f t="shared" ref="AR18:AR24" si="30">(3-30/20/12-9/12)</f>
        <v>2.125</v>
      </c>
      <c r="AS18">
        <v>0.23</v>
      </c>
      <c r="AU18">
        <f t="shared" ref="AU18:AU23" si="31">SUM(AO18:AT18)*AN18</f>
        <v>337.86</v>
      </c>
      <c r="AX18" t="s">
        <v>10</v>
      </c>
      <c r="AY18" t="s">
        <v>130</v>
      </c>
      <c r="AZ18">
        <v>11</v>
      </c>
      <c r="BA18">
        <v>25.8</v>
      </c>
      <c r="BD18">
        <f t="shared" ref="BD18:BD24" si="32">(3-30/20/12-9/12)</f>
        <v>2.125</v>
      </c>
      <c r="BE18">
        <v>0.23</v>
      </c>
      <c r="BG18">
        <f t="shared" ref="BG18:BG24" si="33">SUM(BA18:BF18)*AZ18</f>
        <v>309.70500000000004</v>
      </c>
      <c r="BK18" t="s">
        <v>50</v>
      </c>
      <c r="BL18">
        <v>20</v>
      </c>
      <c r="BM18">
        <v>25.2</v>
      </c>
      <c r="BO18">
        <f t="shared" si="22"/>
        <v>0.32087037037037036</v>
      </c>
      <c r="BQ18">
        <v>1.22</v>
      </c>
      <c r="BS18">
        <f t="shared" si="23"/>
        <v>534.81740740740736</v>
      </c>
    </row>
    <row r="19" spans="1:71">
      <c r="C19" t="s">
        <v>125</v>
      </c>
      <c r="D19">
        <v>9</v>
      </c>
      <c r="E19">
        <v>25.2</v>
      </c>
      <c r="H19">
        <f t="shared" si="24"/>
        <v>2.125</v>
      </c>
      <c r="I19">
        <v>0.6</v>
      </c>
      <c r="K19">
        <f t="shared" si="25"/>
        <v>251.32500000000002</v>
      </c>
      <c r="O19" t="s">
        <v>125</v>
      </c>
      <c r="P19">
        <v>9</v>
      </c>
      <c r="Q19">
        <v>25.2</v>
      </c>
      <c r="T19">
        <f t="shared" si="26"/>
        <v>2.125</v>
      </c>
      <c r="U19">
        <v>0.6</v>
      </c>
      <c r="W19">
        <f t="shared" si="27"/>
        <v>251.32500000000002</v>
      </c>
      <c r="AA19" t="s">
        <v>125</v>
      </c>
      <c r="AB19">
        <v>12</v>
      </c>
      <c r="AC19">
        <v>25.2</v>
      </c>
      <c r="AF19">
        <f t="shared" si="28"/>
        <v>2.125</v>
      </c>
      <c r="AG19">
        <v>0.6</v>
      </c>
      <c r="AI19">
        <f t="shared" si="29"/>
        <v>335.1</v>
      </c>
      <c r="AM19" t="s">
        <v>56</v>
      </c>
      <c r="AN19">
        <v>18</v>
      </c>
      <c r="AO19">
        <v>25.8</v>
      </c>
      <c r="AR19">
        <f t="shared" si="30"/>
        <v>2.125</v>
      </c>
      <c r="AS19">
        <v>1.0900000000000001</v>
      </c>
      <c r="AU19">
        <f t="shared" si="31"/>
        <v>522.27</v>
      </c>
      <c r="AY19" t="s">
        <v>56</v>
      </c>
      <c r="AZ19">
        <v>18</v>
      </c>
      <c r="BA19">
        <v>25.8</v>
      </c>
      <c r="BD19">
        <f t="shared" si="32"/>
        <v>2.125</v>
      </c>
      <c r="BE19">
        <v>1.0900000000000001</v>
      </c>
      <c r="BG19">
        <f t="shared" si="33"/>
        <v>522.27</v>
      </c>
      <c r="BK19" t="s">
        <v>18</v>
      </c>
      <c r="BL19">
        <v>28.5</v>
      </c>
      <c r="BS19">
        <f>BL19*4</f>
        <v>114</v>
      </c>
    </row>
    <row r="20" spans="1:71">
      <c r="C20" t="s">
        <v>54</v>
      </c>
      <c r="D20">
        <v>4</v>
      </c>
      <c r="E20">
        <v>43</v>
      </c>
      <c r="H20">
        <f t="shared" si="24"/>
        <v>2.125</v>
      </c>
      <c r="I20">
        <v>0.86499999999999999</v>
      </c>
      <c r="K20">
        <f t="shared" si="25"/>
        <v>183.96</v>
      </c>
      <c r="O20" t="s">
        <v>54</v>
      </c>
      <c r="P20">
        <v>4</v>
      </c>
      <c r="Q20">
        <v>43</v>
      </c>
      <c r="T20">
        <f t="shared" si="26"/>
        <v>2.125</v>
      </c>
      <c r="U20">
        <v>0.86499999999999999</v>
      </c>
      <c r="W20">
        <f t="shared" si="27"/>
        <v>183.96</v>
      </c>
      <c r="AA20" t="s">
        <v>48</v>
      </c>
      <c r="AB20">
        <v>4</v>
      </c>
      <c r="AC20">
        <v>43</v>
      </c>
      <c r="AF20">
        <f t="shared" si="28"/>
        <v>2.125</v>
      </c>
      <c r="AG20">
        <v>0.86499999999999999</v>
      </c>
      <c r="AI20">
        <f t="shared" si="29"/>
        <v>183.96</v>
      </c>
      <c r="AM20" t="s">
        <v>125</v>
      </c>
      <c r="AN20">
        <v>11</v>
      </c>
      <c r="AO20">
        <v>25.2</v>
      </c>
      <c r="AR20">
        <f t="shared" si="30"/>
        <v>2.125</v>
      </c>
      <c r="AS20">
        <v>0.86</v>
      </c>
      <c r="AU20">
        <f t="shared" si="31"/>
        <v>310.03499999999997</v>
      </c>
      <c r="AY20" t="s">
        <v>125</v>
      </c>
      <c r="AZ20">
        <v>10</v>
      </c>
      <c r="BA20">
        <v>25.2</v>
      </c>
      <c r="BD20">
        <f t="shared" si="32"/>
        <v>2.125</v>
      </c>
      <c r="BE20">
        <v>0.86</v>
      </c>
      <c r="BG20">
        <f t="shared" si="33"/>
        <v>281.84999999999997</v>
      </c>
      <c r="BJ20" t="s">
        <v>10</v>
      </c>
      <c r="BK20" t="s">
        <v>130</v>
      </c>
      <c r="BL20">
        <v>10</v>
      </c>
      <c r="BM20">
        <v>25.8</v>
      </c>
      <c r="BP20">
        <f t="shared" ref="BP20:BP26" si="34">(3-30/20/12-9/12)</f>
        <v>2.125</v>
      </c>
      <c r="BQ20">
        <v>0.23</v>
      </c>
      <c r="BS20">
        <f t="shared" ref="BS20:BS26" si="35">SUM(BM20:BR20)*BL20</f>
        <v>281.55</v>
      </c>
    </row>
    <row r="21" spans="1:71">
      <c r="C21" t="s">
        <v>131</v>
      </c>
      <c r="D21">
        <v>3</v>
      </c>
      <c r="E21">
        <v>43</v>
      </c>
      <c r="H21">
        <f t="shared" si="24"/>
        <v>2.125</v>
      </c>
      <c r="I21">
        <v>0.44669999999999999</v>
      </c>
      <c r="K21">
        <f t="shared" si="25"/>
        <v>136.71510000000001</v>
      </c>
      <c r="O21" t="s">
        <v>131</v>
      </c>
      <c r="P21">
        <v>3</v>
      </c>
      <c r="Q21">
        <v>43</v>
      </c>
      <c r="T21">
        <f t="shared" si="26"/>
        <v>2.125</v>
      </c>
      <c r="U21">
        <v>0.44669999999999999</v>
      </c>
      <c r="W21">
        <f t="shared" si="27"/>
        <v>136.71510000000001</v>
      </c>
      <c r="AA21" t="s">
        <v>54</v>
      </c>
      <c r="AB21">
        <v>4</v>
      </c>
      <c r="AC21">
        <v>42</v>
      </c>
      <c r="AF21">
        <f t="shared" si="28"/>
        <v>2.125</v>
      </c>
      <c r="AG21">
        <v>0.44669999999999999</v>
      </c>
      <c r="AI21">
        <f t="shared" si="29"/>
        <v>178.2868</v>
      </c>
      <c r="AM21" t="s">
        <v>54</v>
      </c>
      <c r="AN21">
        <v>4</v>
      </c>
      <c r="AO21">
        <v>43</v>
      </c>
      <c r="AR21">
        <f t="shared" si="30"/>
        <v>2.125</v>
      </c>
      <c r="AS21">
        <v>4.25</v>
      </c>
      <c r="AU21">
        <f t="shared" si="31"/>
        <v>197.5</v>
      </c>
      <c r="AY21" t="s">
        <v>54</v>
      </c>
      <c r="AZ21">
        <v>4</v>
      </c>
      <c r="BA21">
        <v>43</v>
      </c>
      <c r="BD21">
        <f t="shared" si="32"/>
        <v>2.125</v>
      </c>
      <c r="BE21">
        <v>4.25</v>
      </c>
      <c r="BG21">
        <f t="shared" si="33"/>
        <v>197.5</v>
      </c>
      <c r="BK21" t="s">
        <v>56</v>
      </c>
      <c r="BL21">
        <v>18</v>
      </c>
      <c r="BM21">
        <v>25.8</v>
      </c>
      <c r="BP21">
        <f t="shared" si="34"/>
        <v>2.125</v>
      </c>
      <c r="BQ21">
        <v>1.0900000000000001</v>
      </c>
      <c r="BS21">
        <f t="shared" si="35"/>
        <v>522.27</v>
      </c>
    </row>
    <row r="22" spans="1:71">
      <c r="C22" t="s">
        <v>55</v>
      </c>
      <c r="D22">
        <v>0</v>
      </c>
      <c r="E22">
        <v>25.8</v>
      </c>
      <c r="H22">
        <f t="shared" si="24"/>
        <v>2.125</v>
      </c>
      <c r="I22">
        <v>0.33300000000000002</v>
      </c>
      <c r="K22">
        <f t="shared" si="25"/>
        <v>0</v>
      </c>
      <c r="O22" t="s">
        <v>55</v>
      </c>
      <c r="P22">
        <v>0</v>
      </c>
      <c r="Q22">
        <v>25.8</v>
      </c>
      <c r="T22">
        <f t="shared" si="26"/>
        <v>2.125</v>
      </c>
      <c r="U22">
        <v>0.33300000000000002</v>
      </c>
      <c r="W22">
        <f t="shared" si="27"/>
        <v>0</v>
      </c>
      <c r="AA22" t="s">
        <v>55</v>
      </c>
      <c r="AB22">
        <v>2</v>
      </c>
      <c r="AC22">
        <v>25.2</v>
      </c>
      <c r="AF22">
        <f t="shared" si="28"/>
        <v>2.125</v>
      </c>
      <c r="AG22">
        <v>0.33300000000000002</v>
      </c>
      <c r="AI22">
        <f t="shared" si="29"/>
        <v>55.315999999999995</v>
      </c>
      <c r="AM22" t="s">
        <v>132</v>
      </c>
      <c r="AN22">
        <v>3</v>
      </c>
      <c r="AO22">
        <v>43</v>
      </c>
      <c r="AR22">
        <f t="shared" si="30"/>
        <v>2.125</v>
      </c>
      <c r="AS22">
        <v>4.09</v>
      </c>
      <c r="AU22">
        <f t="shared" si="31"/>
        <v>147.64500000000001</v>
      </c>
      <c r="AY22" t="s">
        <v>132</v>
      </c>
      <c r="AZ22">
        <v>2</v>
      </c>
      <c r="BA22">
        <v>43</v>
      </c>
      <c r="BD22">
        <f t="shared" si="32"/>
        <v>2.125</v>
      </c>
      <c r="BE22">
        <v>4.09</v>
      </c>
      <c r="BG22">
        <f t="shared" si="33"/>
        <v>98.43</v>
      </c>
      <c r="BK22" t="s">
        <v>125</v>
      </c>
      <c r="BL22">
        <v>10</v>
      </c>
      <c r="BM22">
        <v>25.2</v>
      </c>
      <c r="BP22">
        <f t="shared" si="34"/>
        <v>2.125</v>
      </c>
      <c r="BQ22">
        <v>0.86</v>
      </c>
      <c r="BS22">
        <f t="shared" si="35"/>
        <v>281.84999999999997</v>
      </c>
    </row>
    <row r="23" spans="1:71">
      <c r="C23" t="s">
        <v>132</v>
      </c>
      <c r="D23">
        <v>4</v>
      </c>
      <c r="E23">
        <v>43</v>
      </c>
      <c r="H23">
        <f t="shared" si="24"/>
        <v>2.125</v>
      </c>
      <c r="I23">
        <v>0.44669999999999999</v>
      </c>
      <c r="K23">
        <f t="shared" si="25"/>
        <v>182.2868</v>
      </c>
      <c r="O23" t="s">
        <v>132</v>
      </c>
      <c r="P23">
        <v>4</v>
      </c>
      <c r="Q23">
        <v>43</v>
      </c>
      <c r="T23">
        <f t="shared" si="26"/>
        <v>2.125</v>
      </c>
      <c r="U23">
        <v>0.44669999999999999</v>
      </c>
      <c r="W23">
        <f t="shared" si="27"/>
        <v>182.2868</v>
      </c>
      <c r="AA23" t="s">
        <v>111</v>
      </c>
      <c r="AB23">
        <v>3</v>
      </c>
      <c r="AC23">
        <v>43</v>
      </c>
      <c r="AF23">
        <f t="shared" si="28"/>
        <v>2.125</v>
      </c>
      <c r="AG23">
        <v>0.44669999999999999</v>
      </c>
      <c r="AI23">
        <f t="shared" si="29"/>
        <v>136.71510000000001</v>
      </c>
      <c r="AM23" t="s">
        <v>131</v>
      </c>
      <c r="AN23">
        <v>3</v>
      </c>
      <c r="AO23">
        <v>43</v>
      </c>
      <c r="AR23">
        <f t="shared" si="30"/>
        <v>2.125</v>
      </c>
      <c r="AS23">
        <v>4.09</v>
      </c>
      <c r="AU23">
        <f t="shared" si="31"/>
        <v>147.64500000000001</v>
      </c>
      <c r="AY23" t="s">
        <v>131</v>
      </c>
      <c r="AZ23">
        <v>3</v>
      </c>
      <c r="BA23">
        <v>43</v>
      </c>
      <c r="BD23">
        <f t="shared" si="32"/>
        <v>2.125</v>
      </c>
      <c r="BE23">
        <v>4.09</v>
      </c>
      <c r="BG23">
        <f t="shared" si="33"/>
        <v>147.64500000000001</v>
      </c>
      <c r="BK23" t="s">
        <v>54</v>
      </c>
      <c r="BL23">
        <v>5</v>
      </c>
      <c r="BM23">
        <v>43</v>
      </c>
      <c r="BP23">
        <f t="shared" si="34"/>
        <v>2.125</v>
      </c>
      <c r="BQ23">
        <v>4.25</v>
      </c>
      <c r="BS23">
        <f t="shared" si="35"/>
        <v>246.875</v>
      </c>
    </row>
    <row r="24" spans="1:71">
      <c r="C24" t="s">
        <v>139</v>
      </c>
      <c r="D24">
        <v>1</v>
      </c>
      <c r="E24">
        <v>25.8</v>
      </c>
      <c r="H24">
        <f t="shared" si="24"/>
        <v>2.125</v>
      </c>
      <c r="I24">
        <v>0.33300000000000002</v>
      </c>
      <c r="K24">
        <f t="shared" ref="K24" si="36">SUM(E24:J24)*D24</f>
        <v>28.257999999999999</v>
      </c>
      <c r="O24" t="s">
        <v>139</v>
      </c>
      <c r="P24">
        <v>1</v>
      </c>
      <c r="Q24">
        <v>25.8</v>
      </c>
      <c r="T24">
        <f t="shared" si="26"/>
        <v>2.125</v>
      </c>
      <c r="U24">
        <v>0.33300000000000002</v>
      </c>
      <c r="W24">
        <f t="shared" ref="W24" si="37">SUM(Q24:V24)*P24</f>
        <v>28.257999999999999</v>
      </c>
      <c r="AA24" t="s">
        <v>41</v>
      </c>
      <c r="AB24">
        <v>10</v>
      </c>
      <c r="AI24">
        <f>(SUM(AB18:AB22)-AB24)*4</f>
        <v>80</v>
      </c>
      <c r="AM24" t="s">
        <v>143</v>
      </c>
      <c r="AN24">
        <v>1</v>
      </c>
      <c r="AO24">
        <v>25.8</v>
      </c>
      <c r="AR24">
        <f t="shared" si="30"/>
        <v>2.125</v>
      </c>
      <c r="AS24">
        <v>3.56</v>
      </c>
      <c r="AU24">
        <f t="shared" ref="AU24" si="38">SUM(AO24:AT24)*AN24</f>
        <v>31.484999999999999</v>
      </c>
      <c r="AY24" t="s">
        <v>143</v>
      </c>
      <c r="AZ24">
        <v>1</v>
      </c>
      <c r="BA24">
        <f>43/4*3</f>
        <v>32.25</v>
      </c>
      <c r="BD24">
        <f t="shared" si="32"/>
        <v>2.125</v>
      </c>
      <c r="BE24">
        <v>3.56</v>
      </c>
      <c r="BG24">
        <f t="shared" si="33"/>
        <v>37.935000000000002</v>
      </c>
      <c r="BK24" t="s">
        <v>132</v>
      </c>
      <c r="BL24">
        <v>2</v>
      </c>
      <c r="BM24">
        <v>43</v>
      </c>
      <c r="BP24">
        <f t="shared" si="34"/>
        <v>2.125</v>
      </c>
      <c r="BQ24">
        <v>4.09</v>
      </c>
      <c r="BS24">
        <f t="shared" si="35"/>
        <v>98.43</v>
      </c>
    </row>
    <row r="25" spans="1:71">
      <c r="C25" t="s">
        <v>41</v>
      </c>
      <c r="D25">
        <v>10</v>
      </c>
      <c r="K25">
        <f>(SUM(D18:D22)-D25)*4</f>
        <v>128</v>
      </c>
      <c r="O25" t="s">
        <v>41</v>
      </c>
      <c r="P25">
        <v>10</v>
      </c>
      <c r="W25">
        <f>(SUM(P18:P22)-P25)*4</f>
        <v>128</v>
      </c>
      <c r="Z25" t="s">
        <v>12</v>
      </c>
      <c r="AI25">
        <f>SUM(AI2:AI24)</f>
        <v>9486.9524740740744</v>
      </c>
      <c r="AM25" t="s">
        <v>144</v>
      </c>
      <c r="AN25">
        <v>27</v>
      </c>
      <c r="AO25">
        <v>4</v>
      </c>
      <c r="AU25">
        <f>AO25*AN25</f>
        <v>108</v>
      </c>
      <c r="AY25" t="s">
        <v>144</v>
      </c>
      <c r="AZ25">
        <v>27</v>
      </c>
      <c r="BA25">
        <v>4</v>
      </c>
      <c r="BG25">
        <f>BA25*AZ25</f>
        <v>108</v>
      </c>
      <c r="BK25" t="s">
        <v>131</v>
      </c>
      <c r="BL25">
        <v>3</v>
      </c>
      <c r="BM25">
        <v>43</v>
      </c>
      <c r="BP25">
        <f t="shared" si="34"/>
        <v>2.125</v>
      </c>
      <c r="BQ25">
        <v>4.09</v>
      </c>
      <c r="BS25">
        <f t="shared" si="35"/>
        <v>147.64500000000001</v>
      </c>
    </row>
    <row r="26" spans="1:71">
      <c r="B26" t="s">
        <v>12</v>
      </c>
      <c r="K26">
        <f>SUM(K2:K25)</f>
        <v>11405.602788888888</v>
      </c>
      <c r="N26" t="s">
        <v>12</v>
      </c>
      <c r="W26">
        <f>SUM(W2:W25)</f>
        <v>11405.602788888888</v>
      </c>
      <c r="AL26" t="s">
        <v>12</v>
      </c>
      <c r="AU26">
        <f>SUM(AU2:AU25)</f>
        <v>11055.358777777779</v>
      </c>
      <c r="AX26" t="s">
        <v>12</v>
      </c>
      <c r="BG26">
        <f>SUM(BG2:BG25)</f>
        <v>10755.466814814814</v>
      </c>
      <c r="BK26" t="s">
        <v>143</v>
      </c>
      <c r="BL26">
        <v>1</v>
      </c>
      <c r="BM26">
        <f>43/5*4</f>
        <v>34.4</v>
      </c>
      <c r="BP26">
        <f t="shared" si="34"/>
        <v>2.125</v>
      </c>
      <c r="BQ26">
        <v>3.56</v>
      </c>
      <c r="BS26">
        <f t="shared" si="35"/>
        <v>40.085000000000001</v>
      </c>
    </row>
    <row r="27" spans="1:71">
      <c r="Z27" t="s">
        <v>13</v>
      </c>
      <c r="AA27" t="s">
        <v>14</v>
      </c>
      <c r="AB27" t="s">
        <v>15</v>
      </c>
      <c r="AC27" t="s">
        <v>16</v>
      </c>
      <c r="AD27" t="s">
        <v>12</v>
      </c>
      <c r="BK27" t="s">
        <v>144</v>
      </c>
      <c r="BL27">
        <v>27</v>
      </c>
      <c r="BM27">
        <v>4</v>
      </c>
      <c r="BS27">
        <f>BM27*BL27</f>
        <v>108</v>
      </c>
    </row>
    <row r="28" spans="1:71">
      <c r="B28" t="s">
        <v>13</v>
      </c>
      <c r="C28" t="s">
        <v>14</v>
      </c>
      <c r="D28" t="s">
        <v>15</v>
      </c>
      <c r="E28" t="s">
        <v>16</v>
      </c>
      <c r="F28" t="s">
        <v>12</v>
      </c>
      <c r="N28" t="s">
        <v>13</v>
      </c>
      <c r="O28" t="s">
        <v>14</v>
      </c>
      <c r="P28" t="s">
        <v>15</v>
      </c>
      <c r="Q28" t="s">
        <v>16</v>
      </c>
      <c r="R28" t="s">
        <v>12</v>
      </c>
      <c r="Z28" t="s">
        <v>39</v>
      </c>
      <c r="AA28">
        <v>380</v>
      </c>
      <c r="AB28">
        <v>20</v>
      </c>
      <c r="AC28">
        <f>AA28*0.1</f>
        <v>38</v>
      </c>
      <c r="AD28">
        <f>SUM(AA28:AC28)</f>
        <v>438</v>
      </c>
      <c r="AL28" t="s">
        <v>13</v>
      </c>
      <c r="AM28" t="s">
        <v>14</v>
      </c>
      <c r="AN28" t="s">
        <v>15</v>
      </c>
      <c r="AO28" t="s">
        <v>16</v>
      </c>
      <c r="AP28" t="s">
        <v>12</v>
      </c>
      <c r="AX28" t="s">
        <v>13</v>
      </c>
      <c r="AY28" t="s">
        <v>14</v>
      </c>
      <c r="AZ28" t="s">
        <v>15</v>
      </c>
      <c r="BA28" t="s">
        <v>16</v>
      </c>
      <c r="BB28" t="s">
        <v>12</v>
      </c>
      <c r="BJ28" t="s">
        <v>12</v>
      </c>
      <c r="BS28">
        <f>SUM(BS2:BS27)</f>
        <v>10739.643333333332</v>
      </c>
    </row>
    <row r="29" spans="1:71">
      <c r="B29" t="s">
        <v>39</v>
      </c>
      <c r="C29">
        <v>380</v>
      </c>
      <c r="D29">
        <v>20</v>
      </c>
      <c r="E29">
        <f>C29*0.1</f>
        <v>38</v>
      </c>
      <c r="F29">
        <f>SUM(C29:E29)</f>
        <v>438</v>
      </c>
      <c r="N29" t="s">
        <v>39</v>
      </c>
      <c r="O29">
        <v>380</v>
      </c>
      <c r="P29">
        <v>20</v>
      </c>
      <c r="Q29">
        <f>O29*0.1</f>
        <v>38</v>
      </c>
      <c r="R29">
        <f>SUM(O29:Q29)</f>
        <v>438</v>
      </c>
      <c r="Y29" s="1" t="s">
        <v>36</v>
      </c>
      <c r="Z29" t="s">
        <v>118</v>
      </c>
      <c r="AA29">
        <v>260</v>
      </c>
      <c r="AB29">
        <f>20+35</f>
        <v>55</v>
      </c>
      <c r="AC29">
        <f t="shared" ref="AC29:AC30" si="39">AA29*0.1</f>
        <v>26</v>
      </c>
      <c r="AD29">
        <f t="shared" ref="AD29:AD30" si="40">SUM(AA29:AC29)</f>
        <v>341</v>
      </c>
      <c r="AL29" t="s">
        <v>39</v>
      </c>
      <c r="AM29">
        <v>380</v>
      </c>
      <c r="AN29">
        <v>20</v>
      </c>
      <c r="AO29">
        <f>AM29*0.1</f>
        <v>38</v>
      </c>
      <c r="AP29">
        <f>SUM(AM29:AO29)</f>
        <v>438</v>
      </c>
      <c r="AX29" t="s">
        <v>39</v>
      </c>
      <c r="AY29">
        <v>380</v>
      </c>
      <c r="AZ29">
        <v>20</v>
      </c>
      <c r="BA29">
        <f>AY29*0.1</f>
        <v>38</v>
      </c>
      <c r="BB29">
        <f>SUM(AY29:BA29)</f>
        <v>438</v>
      </c>
    </row>
    <row r="30" spans="1:71">
      <c r="A30" s="1" t="s">
        <v>36</v>
      </c>
      <c r="B30" t="s">
        <v>138</v>
      </c>
      <c r="C30">
        <v>230</v>
      </c>
      <c r="D30">
        <v>55</v>
      </c>
      <c r="E30">
        <f t="shared" ref="E30:E31" si="41">C30*0.1</f>
        <v>23</v>
      </c>
      <c r="F30">
        <f t="shared" ref="F30:F31" si="42">SUM(C30:E30)</f>
        <v>308</v>
      </c>
      <c r="M30" s="1" t="s">
        <v>36</v>
      </c>
      <c r="N30" t="s">
        <v>138</v>
      </c>
      <c r="O30">
        <v>230</v>
      </c>
      <c r="P30">
        <v>55</v>
      </c>
      <c r="Q30">
        <f t="shared" ref="Q30:Q31" si="43">O30*0.1</f>
        <v>23</v>
      </c>
      <c r="R30">
        <f t="shared" ref="R30:R31" si="44">SUM(O30:Q30)</f>
        <v>308</v>
      </c>
      <c r="Y30" s="1" t="s">
        <v>49</v>
      </c>
      <c r="Z30" t="s">
        <v>57</v>
      </c>
      <c r="AA30">
        <v>255</v>
      </c>
      <c r="AB30">
        <f>20+37</f>
        <v>57</v>
      </c>
      <c r="AC30">
        <f t="shared" si="39"/>
        <v>25.5</v>
      </c>
      <c r="AD30">
        <f t="shared" si="40"/>
        <v>337.5</v>
      </c>
      <c r="AK30" s="1" t="s">
        <v>36</v>
      </c>
      <c r="AL30" t="s">
        <v>138</v>
      </c>
      <c r="AM30">
        <v>210</v>
      </c>
      <c r="AN30">
        <v>75</v>
      </c>
      <c r="AO30">
        <f t="shared" ref="AO30:AO31" si="45">AM30*0.1</f>
        <v>21</v>
      </c>
      <c r="AP30">
        <f t="shared" ref="AP30:AP31" si="46">SUM(AM30:AO30)</f>
        <v>306</v>
      </c>
      <c r="AW30" s="1" t="s">
        <v>36</v>
      </c>
      <c r="AX30" t="s">
        <v>138</v>
      </c>
      <c r="AY30">
        <v>210</v>
      </c>
      <c r="AZ30">
        <v>75</v>
      </c>
      <c r="BA30">
        <f t="shared" ref="BA30:BA31" si="47">AY30*0.1</f>
        <v>21</v>
      </c>
      <c r="BB30">
        <f t="shared" ref="BB30:BB31" si="48">SUM(AY30:BA30)</f>
        <v>306</v>
      </c>
      <c r="BJ30" t="s">
        <v>13</v>
      </c>
      <c r="BK30" t="s">
        <v>14</v>
      </c>
      <c r="BL30" t="s">
        <v>15</v>
      </c>
      <c r="BM30" t="s">
        <v>16</v>
      </c>
      <c r="BN30" t="s">
        <v>12</v>
      </c>
    </row>
    <row r="31" spans="1:71">
      <c r="A31" s="1" t="s">
        <v>49</v>
      </c>
      <c r="B31" t="s">
        <v>57</v>
      </c>
      <c r="C31">
        <v>255</v>
      </c>
      <c r="D31">
        <f>20+37</f>
        <v>57</v>
      </c>
      <c r="E31">
        <f t="shared" si="41"/>
        <v>25.5</v>
      </c>
      <c r="F31">
        <f t="shared" si="42"/>
        <v>337.5</v>
      </c>
      <c r="M31" s="1" t="s">
        <v>49</v>
      </c>
      <c r="N31" t="s">
        <v>57</v>
      </c>
      <c r="O31">
        <v>255</v>
      </c>
      <c r="P31">
        <f>20+37</f>
        <v>57</v>
      </c>
      <c r="Q31">
        <f t="shared" si="43"/>
        <v>25.5</v>
      </c>
      <c r="R31">
        <f t="shared" si="44"/>
        <v>337.5</v>
      </c>
      <c r="Y31" s="1" t="s">
        <v>35</v>
      </c>
      <c r="Z31" t="s">
        <v>45</v>
      </c>
      <c r="AA31">
        <v>250</v>
      </c>
      <c r="AB31">
        <v>75</v>
      </c>
      <c r="AC31">
        <f>AA31*0.05</f>
        <v>12.5</v>
      </c>
      <c r="AD31">
        <f>SUM(AA31:AC31)</f>
        <v>337.5</v>
      </c>
      <c r="AK31" s="1" t="s">
        <v>49</v>
      </c>
      <c r="AL31" t="s">
        <v>57</v>
      </c>
      <c r="AM31">
        <v>255</v>
      </c>
      <c r="AN31">
        <f>20+37</f>
        <v>57</v>
      </c>
      <c r="AO31">
        <f t="shared" si="45"/>
        <v>25.5</v>
      </c>
      <c r="AP31">
        <f t="shared" si="46"/>
        <v>337.5</v>
      </c>
      <c r="AW31" s="1" t="s">
        <v>49</v>
      </c>
      <c r="AX31" t="s">
        <v>57</v>
      </c>
      <c r="AY31">
        <v>255</v>
      </c>
      <c r="AZ31">
        <f>20+37</f>
        <v>57</v>
      </c>
      <c r="BA31">
        <f t="shared" si="47"/>
        <v>25.5</v>
      </c>
      <c r="BB31">
        <f t="shared" si="48"/>
        <v>337.5</v>
      </c>
      <c r="BJ31" t="s">
        <v>39</v>
      </c>
      <c r="BK31">
        <v>380</v>
      </c>
      <c r="BL31">
        <v>20</v>
      </c>
      <c r="BM31">
        <f>BK31*0.1</f>
        <v>38</v>
      </c>
      <c r="BN31">
        <f>SUM(BK31:BM31)</f>
        <v>438</v>
      </c>
    </row>
    <row r="32" spans="1:71">
      <c r="A32" s="1" t="s">
        <v>122</v>
      </c>
      <c r="B32" t="s">
        <v>45</v>
      </c>
      <c r="C32">
        <v>240</v>
      </c>
      <c r="D32">
        <v>75</v>
      </c>
      <c r="E32">
        <f>C32*0.05</f>
        <v>12</v>
      </c>
      <c r="F32">
        <f>SUM(C32:E32)</f>
        <v>327</v>
      </c>
      <c r="M32" s="1" t="s">
        <v>122</v>
      </c>
      <c r="N32" t="s">
        <v>45</v>
      </c>
      <c r="O32">
        <v>240</v>
      </c>
      <c r="P32">
        <v>75</v>
      </c>
      <c r="Q32">
        <f>O32*0.05</f>
        <v>12</v>
      </c>
      <c r="R32">
        <f>SUM(O32:Q32)</f>
        <v>327</v>
      </c>
      <c r="Y32" s="3" t="s">
        <v>121</v>
      </c>
      <c r="Z32" t="s">
        <v>38</v>
      </c>
      <c r="AA32">
        <v>290</v>
      </c>
      <c r="AB32">
        <v>80</v>
      </c>
      <c r="AC32">
        <f t="shared" ref="AC32" si="49">AA32*0.1</f>
        <v>29</v>
      </c>
      <c r="AD32">
        <f t="shared" ref="AD32:AD33" si="50">SUM(AA32:AC32)</f>
        <v>399</v>
      </c>
      <c r="AK32" s="1" t="s">
        <v>122</v>
      </c>
      <c r="AL32" t="s">
        <v>45</v>
      </c>
      <c r="AM32">
        <v>260</v>
      </c>
      <c r="AN32">
        <v>75</v>
      </c>
      <c r="AO32">
        <f>AM32*0.05</f>
        <v>13</v>
      </c>
      <c r="AP32">
        <f>SUM(AM32:AO32)</f>
        <v>348</v>
      </c>
      <c r="AW32" s="1" t="s">
        <v>122</v>
      </c>
      <c r="AX32" t="s">
        <v>45</v>
      </c>
      <c r="AY32">
        <v>260</v>
      </c>
      <c r="AZ32">
        <v>75</v>
      </c>
      <c r="BA32">
        <f>AY32*0.05</f>
        <v>13</v>
      </c>
      <c r="BB32">
        <f>SUM(AY32:BA32)</f>
        <v>348</v>
      </c>
      <c r="BI32" s="1" t="s">
        <v>36</v>
      </c>
      <c r="BJ32" t="s">
        <v>138</v>
      </c>
      <c r="BK32">
        <v>210</v>
      </c>
      <c r="BL32">
        <v>75</v>
      </c>
      <c r="BM32">
        <f t="shared" ref="BM32:BM33" si="51">BK32*0.1</f>
        <v>21</v>
      </c>
      <c r="BN32">
        <f t="shared" ref="BN32:BN33" si="52">SUM(BK32:BM32)</f>
        <v>306</v>
      </c>
    </row>
    <row r="33" spans="1:66">
      <c r="A33" s="3" t="s">
        <v>33</v>
      </c>
      <c r="B33" t="s">
        <v>134</v>
      </c>
      <c r="C33">
        <f>270-12</f>
        <v>258</v>
      </c>
      <c r="D33">
        <f>55+12</f>
        <v>67</v>
      </c>
      <c r="E33">
        <f t="shared" ref="E33" si="53">C33*0.1</f>
        <v>25.8</v>
      </c>
      <c r="F33">
        <f t="shared" ref="F33:F34" si="54">SUM(C33:E33)</f>
        <v>350.8</v>
      </c>
      <c r="M33" s="3" t="s">
        <v>33</v>
      </c>
      <c r="N33" t="s">
        <v>134</v>
      </c>
      <c r="O33">
        <f>270-12</f>
        <v>258</v>
      </c>
      <c r="P33">
        <f>55+12</f>
        <v>67</v>
      </c>
      <c r="Q33">
        <f t="shared" ref="Q33" si="55">O33*0.1</f>
        <v>25.8</v>
      </c>
      <c r="R33">
        <f t="shared" ref="R33:R36" si="56">SUM(O33:Q33)</f>
        <v>350.8</v>
      </c>
      <c r="Y33" s="3" t="s">
        <v>44</v>
      </c>
      <c r="Z33" t="s">
        <v>59</v>
      </c>
      <c r="AA33">
        <v>260</v>
      </c>
      <c r="AB33">
        <f>20+35</f>
        <v>55</v>
      </c>
      <c r="AC33">
        <f>AA33*0.1</f>
        <v>26</v>
      </c>
      <c r="AD33">
        <f t="shared" si="50"/>
        <v>341</v>
      </c>
      <c r="AK33" s="3" t="s">
        <v>33</v>
      </c>
      <c r="AL33" t="s">
        <v>134</v>
      </c>
      <c r="AM33">
        <f>270-12</f>
        <v>258</v>
      </c>
      <c r="AN33">
        <f>55+12</f>
        <v>67</v>
      </c>
      <c r="AO33">
        <f t="shared" ref="AO33" si="57">AM33*0.1</f>
        <v>25.8</v>
      </c>
      <c r="AP33">
        <f t="shared" ref="AP33:AP36" si="58">SUM(AM33:AO33)</f>
        <v>350.8</v>
      </c>
      <c r="AW33" s="3" t="s">
        <v>33</v>
      </c>
      <c r="AX33" t="s">
        <v>134</v>
      </c>
      <c r="AY33">
        <f>270-12</f>
        <v>258</v>
      </c>
      <c r="AZ33">
        <f>55+12</f>
        <v>67</v>
      </c>
      <c r="BA33">
        <f t="shared" ref="BA33" si="59">AY33*0.1</f>
        <v>25.8</v>
      </c>
      <c r="BB33">
        <f t="shared" ref="BB33:BB44" si="60">SUM(AY33:BA33)</f>
        <v>350.8</v>
      </c>
      <c r="BI33" s="1" t="s">
        <v>34</v>
      </c>
      <c r="BJ33" t="s">
        <v>57</v>
      </c>
      <c r="BK33">
        <v>255</v>
      </c>
      <c r="BL33">
        <f>20+37</f>
        <v>57</v>
      </c>
      <c r="BM33">
        <f t="shared" si="51"/>
        <v>25.5</v>
      </c>
      <c r="BN33">
        <f t="shared" si="52"/>
        <v>337.5</v>
      </c>
    </row>
    <row r="34" spans="1:66">
      <c r="A34" s="3" t="s">
        <v>44</v>
      </c>
      <c r="B34" t="s">
        <v>133</v>
      </c>
      <c r="C34">
        <v>260</v>
      </c>
      <c r="D34">
        <f>20+35</f>
        <v>55</v>
      </c>
      <c r="E34">
        <f>C34*0.1</f>
        <v>26</v>
      </c>
      <c r="F34">
        <f t="shared" si="54"/>
        <v>341</v>
      </c>
      <c r="M34" s="3" t="s">
        <v>44</v>
      </c>
      <c r="N34" t="s">
        <v>133</v>
      </c>
      <c r="O34">
        <v>260</v>
      </c>
      <c r="P34">
        <f>20+35</f>
        <v>55</v>
      </c>
      <c r="Q34">
        <f>O34*0.1</f>
        <v>26</v>
      </c>
      <c r="R34">
        <f t="shared" si="56"/>
        <v>341</v>
      </c>
      <c r="Y34" s="1" t="s">
        <v>120</v>
      </c>
      <c r="Z34" t="s">
        <v>58</v>
      </c>
      <c r="AA34">
        <v>205</v>
      </c>
      <c r="AD34">
        <f>SUM(AA34:AC34)</f>
        <v>205</v>
      </c>
      <c r="AK34" s="3" t="s">
        <v>44</v>
      </c>
      <c r="AL34" t="s">
        <v>133</v>
      </c>
      <c r="AM34">
        <v>260</v>
      </c>
      <c r="AN34">
        <f>20+35</f>
        <v>55</v>
      </c>
      <c r="AO34">
        <f>AM34*0.1</f>
        <v>26</v>
      </c>
      <c r="AP34">
        <f t="shared" si="58"/>
        <v>341</v>
      </c>
      <c r="AW34" s="3" t="s">
        <v>44</v>
      </c>
      <c r="AX34" t="s">
        <v>133</v>
      </c>
      <c r="AY34">
        <v>260</v>
      </c>
      <c r="AZ34">
        <f>20+35</f>
        <v>55</v>
      </c>
      <c r="BA34">
        <f>AY34*0.1</f>
        <v>26</v>
      </c>
      <c r="BB34">
        <f t="shared" si="60"/>
        <v>341</v>
      </c>
      <c r="BI34" s="1" t="s">
        <v>122</v>
      </c>
      <c r="BJ34" t="s">
        <v>45</v>
      </c>
      <c r="BK34">
        <v>260</v>
      </c>
      <c r="BL34">
        <v>75</v>
      </c>
      <c r="BM34">
        <f>BK34*0.05</f>
        <v>13</v>
      </c>
      <c r="BN34">
        <f>SUM(BK34:BM34)</f>
        <v>348</v>
      </c>
    </row>
    <row r="35" spans="1:66">
      <c r="A35" s="3" t="s">
        <v>35</v>
      </c>
      <c r="B35" t="s">
        <v>140</v>
      </c>
      <c r="C35">
        <f>270</f>
        <v>270</v>
      </c>
      <c r="D35">
        <f>20+35+12</f>
        <v>67</v>
      </c>
      <c r="E35">
        <f>C35*0.05</f>
        <v>13.5</v>
      </c>
      <c r="F35">
        <f t="shared" ref="F35" si="61">SUM(C35:E35)</f>
        <v>350.5</v>
      </c>
      <c r="M35" s="3" t="s">
        <v>35</v>
      </c>
      <c r="N35" t="s">
        <v>140</v>
      </c>
      <c r="O35">
        <f>270</f>
        <v>270</v>
      </c>
      <c r="P35">
        <f>20+35+12</f>
        <v>67</v>
      </c>
      <c r="Q35">
        <f>O35*0.05</f>
        <v>13.5</v>
      </c>
      <c r="R35">
        <f t="shared" si="56"/>
        <v>350.5</v>
      </c>
      <c r="Y35" s="1" t="s">
        <v>121</v>
      </c>
      <c r="Z35" t="s">
        <v>42</v>
      </c>
      <c r="AA35">
        <v>265</v>
      </c>
      <c r="AB35">
        <v>20</v>
      </c>
      <c r="AC35">
        <f t="shared" ref="AC35:AC37" si="62">AA35*0.1</f>
        <v>26.5</v>
      </c>
      <c r="AD35">
        <f>SUM(AA35:AC35)</f>
        <v>311.5</v>
      </c>
      <c r="AK35" s="3" t="s">
        <v>35</v>
      </c>
      <c r="AL35" t="s">
        <v>140</v>
      </c>
      <c r="AM35">
        <f>270</f>
        <v>270</v>
      </c>
      <c r="AN35">
        <f>20+35+12</f>
        <v>67</v>
      </c>
      <c r="AO35">
        <f>AM35*0.05</f>
        <v>13.5</v>
      </c>
      <c r="AP35">
        <f t="shared" si="58"/>
        <v>350.5</v>
      </c>
      <c r="AW35" s="3" t="s">
        <v>35</v>
      </c>
      <c r="AX35" t="s">
        <v>140</v>
      </c>
      <c r="AY35">
        <f>270</f>
        <v>270</v>
      </c>
      <c r="AZ35">
        <f>20+35+12</f>
        <v>67</v>
      </c>
      <c r="BA35">
        <f>AY35*0.05</f>
        <v>13.5</v>
      </c>
      <c r="BB35">
        <f t="shared" si="60"/>
        <v>350.5</v>
      </c>
      <c r="BI35" s="3" t="s">
        <v>33</v>
      </c>
      <c r="BJ35" t="s">
        <v>134</v>
      </c>
      <c r="BK35">
        <f>270-12</f>
        <v>258</v>
      </c>
      <c r="BL35">
        <f>55+12</f>
        <v>67</v>
      </c>
      <c r="BM35">
        <f t="shared" ref="BM35" si="63">BK35*0.1</f>
        <v>25.8</v>
      </c>
      <c r="BN35">
        <f t="shared" ref="BN35:BN45" si="64">SUM(BK35:BM35)</f>
        <v>350.8</v>
      </c>
    </row>
    <row r="36" spans="1:66">
      <c r="A36" s="3" t="s">
        <v>34</v>
      </c>
      <c r="B36" t="s">
        <v>135</v>
      </c>
      <c r="C36">
        <v>260</v>
      </c>
      <c r="D36">
        <f>20+35</f>
        <v>55</v>
      </c>
      <c r="E36">
        <f t="shared" ref="E36" si="65">C36*0.1</f>
        <v>26</v>
      </c>
      <c r="F36">
        <f t="shared" ref="F36" si="66">SUM(C36:E36)</f>
        <v>341</v>
      </c>
      <c r="M36" s="3" t="s">
        <v>34</v>
      </c>
      <c r="N36" t="s">
        <v>135</v>
      </c>
      <c r="O36">
        <v>260</v>
      </c>
      <c r="P36">
        <f>20+35</f>
        <v>55</v>
      </c>
      <c r="Q36">
        <f t="shared" ref="Q36" si="67">O36*0.1</f>
        <v>26</v>
      </c>
      <c r="R36">
        <f t="shared" si="56"/>
        <v>341</v>
      </c>
      <c r="Y36" s="1" t="s">
        <v>44</v>
      </c>
      <c r="Z36" t="s">
        <v>52</v>
      </c>
      <c r="AA36">
        <v>240</v>
      </c>
      <c r="AB36">
        <v>20</v>
      </c>
      <c r="AC36">
        <f t="shared" si="62"/>
        <v>24</v>
      </c>
      <c r="AD36">
        <f>SUM(AA36:AC36)-40</f>
        <v>244</v>
      </c>
      <c r="AK36" s="3" t="s">
        <v>34</v>
      </c>
      <c r="AL36" t="s">
        <v>135</v>
      </c>
      <c r="AM36">
        <v>260</v>
      </c>
      <c r="AN36">
        <f>20+35</f>
        <v>55</v>
      </c>
      <c r="AO36">
        <f t="shared" ref="AO36" si="68">AM36*0.1</f>
        <v>26</v>
      </c>
      <c r="AP36">
        <f t="shared" si="58"/>
        <v>341</v>
      </c>
      <c r="AW36" s="3" t="s">
        <v>34</v>
      </c>
      <c r="AX36" t="s">
        <v>135</v>
      </c>
      <c r="AY36">
        <v>260</v>
      </c>
      <c r="AZ36">
        <f>20+35</f>
        <v>55</v>
      </c>
      <c r="BA36">
        <f t="shared" ref="BA36" si="69">AY36*0.1</f>
        <v>26</v>
      </c>
      <c r="BB36">
        <f t="shared" si="60"/>
        <v>341</v>
      </c>
      <c r="BI36" s="3" t="s">
        <v>44</v>
      </c>
      <c r="BJ36" t="s">
        <v>133</v>
      </c>
      <c r="BK36">
        <v>260</v>
      </c>
      <c r="BL36">
        <f>20+35</f>
        <v>55</v>
      </c>
      <c r="BM36">
        <f>BK36*0.1</f>
        <v>26</v>
      </c>
      <c r="BN36">
        <f t="shared" si="64"/>
        <v>341</v>
      </c>
    </row>
    <row r="37" spans="1:66">
      <c r="A37" s="1" t="s">
        <v>33</v>
      </c>
      <c r="B37" t="s">
        <v>58</v>
      </c>
      <c r="C37">
        <v>200</v>
      </c>
      <c r="F37">
        <f t="shared" ref="F37:F44" si="70">SUM(C37:E37)</f>
        <v>200</v>
      </c>
      <c r="M37" s="1" t="s">
        <v>33</v>
      </c>
      <c r="N37" t="s">
        <v>58</v>
      </c>
      <c r="O37">
        <v>200</v>
      </c>
      <c r="R37">
        <f t="shared" ref="R37:R44" si="71">SUM(O37:Q37)</f>
        <v>200</v>
      </c>
      <c r="Y37" s="1" t="s">
        <v>35</v>
      </c>
      <c r="Z37" t="s">
        <v>119</v>
      </c>
      <c r="AA37">
        <v>210</v>
      </c>
      <c r="AB37">
        <v>20</v>
      </c>
      <c r="AC37">
        <f t="shared" si="62"/>
        <v>21</v>
      </c>
      <c r="AD37">
        <f>SUM(AA37:AC37)-60</f>
        <v>191</v>
      </c>
      <c r="AK37" s="1" t="s">
        <v>33</v>
      </c>
      <c r="AL37" t="s">
        <v>58</v>
      </c>
      <c r="AM37">
        <v>200</v>
      </c>
      <c r="AP37">
        <f t="shared" ref="AP37:AP44" si="72">SUM(AM37:AO37)</f>
        <v>200</v>
      </c>
      <c r="AW37" s="1" t="s">
        <v>33</v>
      </c>
      <c r="AX37" t="s">
        <v>58</v>
      </c>
      <c r="AY37">
        <v>200</v>
      </c>
      <c r="BB37">
        <f t="shared" si="60"/>
        <v>200</v>
      </c>
      <c r="BI37" s="3" t="s">
        <v>35</v>
      </c>
      <c r="BJ37" t="s">
        <v>140</v>
      </c>
      <c r="BK37">
        <f>270</f>
        <v>270</v>
      </c>
      <c r="BL37">
        <f>20+35+12</f>
        <v>67</v>
      </c>
      <c r="BM37">
        <f>BK37*0.05</f>
        <v>13.5</v>
      </c>
      <c r="BN37">
        <f t="shared" si="64"/>
        <v>350.5</v>
      </c>
    </row>
    <row r="38" spans="1:66">
      <c r="A38" s="1" t="s">
        <v>34</v>
      </c>
      <c r="B38" t="s">
        <v>42</v>
      </c>
      <c r="C38">
        <v>260</v>
      </c>
      <c r="D38">
        <v>20</v>
      </c>
      <c r="E38">
        <f t="shared" ref="E38:E39" si="73">C38*0.1</f>
        <v>26</v>
      </c>
      <c r="F38">
        <f t="shared" si="70"/>
        <v>306</v>
      </c>
      <c r="M38" s="1" t="s">
        <v>34</v>
      </c>
      <c r="N38" t="s">
        <v>42</v>
      </c>
      <c r="O38">
        <v>260</v>
      </c>
      <c r="P38">
        <v>20</v>
      </c>
      <c r="Q38">
        <f t="shared" ref="Q38:Q39" si="74">O38*0.1</f>
        <v>26</v>
      </c>
      <c r="R38">
        <f t="shared" si="71"/>
        <v>306</v>
      </c>
      <c r="Y38" s="1" t="s">
        <v>49</v>
      </c>
      <c r="Z38" t="s">
        <v>51</v>
      </c>
      <c r="AA38">
        <v>240</v>
      </c>
      <c r="AD38">
        <f>SUM(AA38:AC38)</f>
        <v>240</v>
      </c>
      <c r="AK38" s="1" t="s">
        <v>34</v>
      </c>
      <c r="AL38" t="s">
        <v>42</v>
      </c>
      <c r="AM38">
        <v>260</v>
      </c>
      <c r="AN38">
        <v>20</v>
      </c>
      <c r="AO38">
        <f t="shared" ref="AO38:AO39" si="75">AM38*0.1</f>
        <v>26</v>
      </c>
      <c r="AP38">
        <f t="shared" si="72"/>
        <v>306</v>
      </c>
      <c r="AW38" s="1" t="s">
        <v>34</v>
      </c>
      <c r="AX38" t="s">
        <v>42</v>
      </c>
      <c r="AY38">
        <v>260</v>
      </c>
      <c r="AZ38">
        <v>20</v>
      </c>
      <c r="BA38">
        <f t="shared" ref="BA38:BA39" si="76">AY38*0.1</f>
        <v>26</v>
      </c>
      <c r="BB38">
        <f t="shared" si="60"/>
        <v>306</v>
      </c>
      <c r="BI38" s="3" t="s">
        <v>49</v>
      </c>
      <c r="BJ38" t="s">
        <v>135</v>
      </c>
      <c r="BK38">
        <v>260</v>
      </c>
      <c r="BL38">
        <f>20+35</f>
        <v>55</v>
      </c>
      <c r="BM38">
        <f t="shared" ref="BM38" si="77">BK38*0.1</f>
        <v>26</v>
      </c>
      <c r="BN38">
        <f t="shared" si="64"/>
        <v>341</v>
      </c>
    </row>
    <row r="39" spans="1:66">
      <c r="A39" s="1" t="s">
        <v>44</v>
      </c>
      <c r="B39" t="s">
        <v>52</v>
      </c>
      <c r="C39">
        <v>230</v>
      </c>
      <c r="D39">
        <v>20</v>
      </c>
      <c r="E39">
        <f t="shared" si="73"/>
        <v>23</v>
      </c>
      <c r="F39">
        <f t="shared" si="70"/>
        <v>273</v>
      </c>
      <c r="M39" s="1" t="s">
        <v>44</v>
      </c>
      <c r="N39" t="s">
        <v>52</v>
      </c>
      <c r="O39">
        <v>230</v>
      </c>
      <c r="P39">
        <v>20</v>
      </c>
      <c r="Q39">
        <f t="shared" si="74"/>
        <v>23</v>
      </c>
      <c r="R39">
        <f t="shared" si="71"/>
        <v>273</v>
      </c>
      <c r="Z39" t="s">
        <v>124</v>
      </c>
      <c r="AA39">
        <f>1.003*209-20</f>
        <v>189.62699999999998</v>
      </c>
      <c r="AB39">
        <v>20</v>
      </c>
      <c r="AC39">
        <f t="shared" ref="AC39" si="78">AA39*0.1</f>
        <v>18.962699999999998</v>
      </c>
      <c r="AD39">
        <f>SUM(AA39:AC39)-6</f>
        <v>222.58969999999999</v>
      </c>
      <c r="AK39" s="1" t="s">
        <v>36</v>
      </c>
      <c r="AL39" t="s">
        <v>145</v>
      </c>
      <c r="AM39">
        <v>220</v>
      </c>
      <c r="AN39">
        <v>20</v>
      </c>
      <c r="AO39">
        <f t="shared" si="75"/>
        <v>22</v>
      </c>
      <c r="AP39">
        <f t="shared" si="72"/>
        <v>262</v>
      </c>
      <c r="AW39" s="1" t="s">
        <v>36</v>
      </c>
      <c r="AX39" t="s">
        <v>145</v>
      </c>
      <c r="AY39">
        <v>220</v>
      </c>
      <c r="AZ39">
        <v>20</v>
      </c>
      <c r="BA39">
        <f t="shared" si="76"/>
        <v>22</v>
      </c>
      <c r="BB39">
        <f t="shared" si="60"/>
        <v>262</v>
      </c>
      <c r="BI39" s="1" t="s">
        <v>33</v>
      </c>
      <c r="BJ39" t="s">
        <v>58</v>
      </c>
      <c r="BK39">
        <v>200</v>
      </c>
      <c r="BN39">
        <f t="shared" si="64"/>
        <v>200</v>
      </c>
    </row>
    <row r="40" spans="1:66">
      <c r="A40" s="1" t="s">
        <v>35</v>
      </c>
      <c r="B40" t="s">
        <v>136</v>
      </c>
      <c r="C40">
        <v>185</v>
      </c>
      <c r="F40">
        <f t="shared" si="70"/>
        <v>185</v>
      </c>
      <c r="M40" s="1" t="s">
        <v>35</v>
      </c>
      <c r="N40" t="s">
        <v>136</v>
      </c>
      <c r="O40">
        <v>185</v>
      </c>
      <c r="R40">
        <f t="shared" si="71"/>
        <v>185</v>
      </c>
      <c r="Z40" t="s">
        <v>17</v>
      </c>
      <c r="AA40">
        <f>135-40+130+130+2*22</f>
        <v>399</v>
      </c>
      <c r="AD40">
        <f>SUM(AA40:AC40)-30</f>
        <v>369</v>
      </c>
      <c r="AK40" s="1" t="s">
        <v>35</v>
      </c>
      <c r="AL40" t="s">
        <v>136</v>
      </c>
      <c r="AM40">
        <v>185</v>
      </c>
      <c r="AP40">
        <f t="shared" si="72"/>
        <v>185</v>
      </c>
      <c r="AW40" s="1" t="s">
        <v>35</v>
      </c>
      <c r="AX40" t="s">
        <v>136</v>
      </c>
      <c r="AY40">
        <v>185</v>
      </c>
      <c r="BB40">
        <f t="shared" si="60"/>
        <v>185</v>
      </c>
      <c r="BI40" s="1" t="s">
        <v>49</v>
      </c>
      <c r="BJ40" t="s">
        <v>42</v>
      </c>
      <c r="BK40">
        <v>260</v>
      </c>
      <c r="BL40">
        <v>20</v>
      </c>
      <c r="BM40">
        <f t="shared" ref="BM40:BM41" si="79">BK40*0.1</f>
        <v>26</v>
      </c>
      <c r="BN40">
        <f t="shared" si="64"/>
        <v>306</v>
      </c>
    </row>
    <row r="41" spans="1:66">
      <c r="A41" s="1" t="s">
        <v>49</v>
      </c>
      <c r="B41" t="s">
        <v>51</v>
      </c>
      <c r="C41">
        <v>240</v>
      </c>
      <c r="F41">
        <f t="shared" si="70"/>
        <v>240</v>
      </c>
      <c r="M41" s="1" t="s">
        <v>49</v>
      </c>
      <c r="N41" t="s">
        <v>51</v>
      </c>
      <c r="O41">
        <v>240</v>
      </c>
      <c r="R41">
        <f t="shared" si="71"/>
        <v>240</v>
      </c>
      <c r="Z41" t="s">
        <v>123</v>
      </c>
      <c r="AA41">
        <f>1.003*209-20</f>
        <v>189.62699999999998</v>
      </c>
      <c r="AB41">
        <v>20</v>
      </c>
      <c r="AC41">
        <f t="shared" ref="AC41" si="80">AA41*0.1</f>
        <v>18.962699999999998</v>
      </c>
      <c r="AD41">
        <f>SUM(AA41:AC41)</f>
        <v>228.58969999999999</v>
      </c>
      <c r="AK41" s="1" t="s">
        <v>49</v>
      </c>
      <c r="AL41" t="s">
        <v>51</v>
      </c>
      <c r="AM41">
        <v>240</v>
      </c>
      <c r="AP41">
        <f t="shared" si="72"/>
        <v>240</v>
      </c>
      <c r="AW41" s="1" t="s">
        <v>49</v>
      </c>
      <c r="AX41" t="s">
        <v>51</v>
      </c>
      <c r="AY41">
        <v>240</v>
      </c>
      <c r="BB41">
        <f t="shared" si="60"/>
        <v>240</v>
      </c>
      <c r="BI41" s="1" t="s">
        <v>36</v>
      </c>
      <c r="BJ41" t="s">
        <v>145</v>
      </c>
      <c r="BK41">
        <v>220</v>
      </c>
      <c r="BL41">
        <v>20</v>
      </c>
      <c r="BM41">
        <f t="shared" si="79"/>
        <v>22</v>
      </c>
      <c r="BN41">
        <f t="shared" si="64"/>
        <v>262</v>
      </c>
    </row>
    <row r="42" spans="1:66">
      <c r="A42" s="1" t="s">
        <v>36</v>
      </c>
      <c r="B42" t="s">
        <v>128</v>
      </c>
      <c r="C42">
        <v>245</v>
      </c>
      <c r="F42">
        <f t="shared" si="70"/>
        <v>245</v>
      </c>
      <c r="M42" s="1" t="s">
        <v>36</v>
      </c>
      <c r="N42" t="s">
        <v>128</v>
      </c>
      <c r="O42">
        <v>245</v>
      </c>
      <c r="R42">
        <f t="shared" si="71"/>
        <v>245</v>
      </c>
      <c r="Z42" t="s">
        <v>18</v>
      </c>
      <c r="AA42">
        <f>270+250+250+105+60</f>
        <v>935</v>
      </c>
      <c r="AD42">
        <f t="shared" ref="AD42:AD54" si="81">SUM(AA42:AC42)</f>
        <v>935</v>
      </c>
      <c r="AK42" s="1" t="s">
        <v>36</v>
      </c>
      <c r="AL42" t="s">
        <v>128</v>
      </c>
      <c r="AM42">
        <v>245</v>
      </c>
      <c r="AP42">
        <f t="shared" si="72"/>
        <v>245</v>
      </c>
      <c r="AW42" s="1" t="s">
        <v>36</v>
      </c>
      <c r="AX42" t="s">
        <v>128</v>
      </c>
      <c r="AY42">
        <v>245</v>
      </c>
      <c r="BB42">
        <f t="shared" si="60"/>
        <v>245</v>
      </c>
      <c r="BI42" s="1" t="s">
        <v>44</v>
      </c>
      <c r="BJ42" t="s">
        <v>136</v>
      </c>
      <c r="BK42">
        <v>185</v>
      </c>
      <c r="BN42">
        <f t="shared" si="64"/>
        <v>185</v>
      </c>
    </row>
    <row r="43" spans="1:66">
      <c r="A43" s="1" t="s">
        <v>122</v>
      </c>
      <c r="B43" t="s">
        <v>129</v>
      </c>
      <c r="C43">
        <v>230</v>
      </c>
      <c r="F43">
        <f t="shared" si="70"/>
        <v>230</v>
      </c>
      <c r="M43" s="1" t="s">
        <v>122</v>
      </c>
      <c r="N43" t="s">
        <v>129</v>
      </c>
      <c r="O43">
        <v>230</v>
      </c>
      <c r="R43">
        <f t="shared" si="71"/>
        <v>230</v>
      </c>
      <c r="Z43" t="s">
        <v>7</v>
      </c>
      <c r="AA43">
        <f>(0.63*SUM(AB2:AB8)+0.43*COUNTA(Z28:Z39))*21*1.1</f>
        <v>730.42200000000003</v>
      </c>
      <c r="AD43">
        <f t="shared" si="81"/>
        <v>730.42200000000003</v>
      </c>
      <c r="AK43" s="1" t="s">
        <v>122</v>
      </c>
      <c r="AL43" t="s">
        <v>129</v>
      </c>
      <c r="AM43">
        <v>230</v>
      </c>
      <c r="AP43">
        <f t="shared" si="72"/>
        <v>230</v>
      </c>
      <c r="AW43" s="1" t="s">
        <v>122</v>
      </c>
      <c r="AX43" t="s">
        <v>129</v>
      </c>
      <c r="AY43">
        <v>220</v>
      </c>
      <c r="AZ43">
        <v>20</v>
      </c>
      <c r="BA43">
        <f t="shared" ref="BA43" si="82">AY43*0.1</f>
        <v>22</v>
      </c>
      <c r="BB43">
        <f t="shared" si="60"/>
        <v>262</v>
      </c>
      <c r="BI43" s="1" t="s">
        <v>34</v>
      </c>
      <c r="BJ43" t="s">
        <v>51</v>
      </c>
      <c r="BK43">
        <v>240</v>
      </c>
      <c r="BN43">
        <f t="shared" si="64"/>
        <v>240</v>
      </c>
    </row>
    <row r="44" spans="1:66">
      <c r="B44" t="s">
        <v>124</v>
      </c>
      <c r="C44">
        <v>300</v>
      </c>
      <c r="F44">
        <f t="shared" si="70"/>
        <v>300</v>
      </c>
      <c r="N44" t="s">
        <v>124</v>
      </c>
      <c r="O44">
        <v>300</v>
      </c>
      <c r="R44">
        <f t="shared" si="71"/>
        <v>300</v>
      </c>
      <c r="Z44" t="s">
        <v>19</v>
      </c>
      <c r="AA44">
        <v>15</v>
      </c>
      <c r="AD44">
        <f t="shared" si="81"/>
        <v>15</v>
      </c>
      <c r="AL44" t="s">
        <v>124</v>
      </c>
      <c r="AM44">
        <v>300</v>
      </c>
      <c r="AP44">
        <f t="shared" si="72"/>
        <v>300</v>
      </c>
      <c r="AX44" t="s">
        <v>124</v>
      </c>
      <c r="AY44">
        <v>0</v>
      </c>
      <c r="BB44">
        <f t="shared" si="60"/>
        <v>0</v>
      </c>
      <c r="BI44" s="1" t="s">
        <v>122</v>
      </c>
      <c r="BJ44" t="s">
        <v>128</v>
      </c>
      <c r="BK44">
        <v>245</v>
      </c>
      <c r="BN44">
        <f t="shared" si="64"/>
        <v>245</v>
      </c>
    </row>
    <row r="45" spans="1:66">
      <c r="B45" t="s">
        <v>17</v>
      </c>
      <c r="C45">
        <f>135-40+135+135+20+45</f>
        <v>430</v>
      </c>
      <c r="F45">
        <f>SUM(C45:E45)-30</f>
        <v>400</v>
      </c>
      <c r="N45" t="s">
        <v>17</v>
      </c>
      <c r="O45">
        <f>135-40+135+135+135</f>
        <v>500</v>
      </c>
      <c r="R45">
        <f>SUM(O45:Q45)-30</f>
        <v>470</v>
      </c>
      <c r="Z45" t="s">
        <v>37</v>
      </c>
      <c r="AA45">
        <v>31.5</v>
      </c>
      <c r="AD45">
        <f t="shared" si="81"/>
        <v>31.5</v>
      </c>
      <c r="AL45" t="s">
        <v>17</v>
      </c>
      <c r="AM45">
        <f>135-40+135+135+45</f>
        <v>410</v>
      </c>
      <c r="AP45">
        <f>SUM(AM45:AO45)-30</f>
        <v>380</v>
      </c>
      <c r="AX45" t="s">
        <v>17</v>
      </c>
      <c r="AY45">
        <f>135-40+135+135+45+45/2</f>
        <v>432.5</v>
      </c>
      <c r="BB45">
        <f>SUM(AY45:BA45)-30</f>
        <v>402.5</v>
      </c>
      <c r="BI45" s="1" t="s">
        <v>35</v>
      </c>
      <c r="BJ45" t="s">
        <v>148</v>
      </c>
      <c r="BK45">
        <v>220</v>
      </c>
      <c r="BL45">
        <v>20</v>
      </c>
      <c r="BM45">
        <f t="shared" ref="BM45" si="83">BK45*0.1</f>
        <v>22</v>
      </c>
      <c r="BN45">
        <f t="shared" si="64"/>
        <v>262</v>
      </c>
    </row>
    <row r="46" spans="1:66">
      <c r="B46" t="s">
        <v>123</v>
      </c>
      <c r="C46">
        <f>1.003*209-20</f>
        <v>189.62699999999998</v>
      </c>
      <c r="D46">
        <v>20</v>
      </c>
      <c r="E46">
        <f t="shared" ref="E46" si="84">C46*0.1</f>
        <v>18.962699999999998</v>
      </c>
      <c r="F46">
        <f>SUM(C46:E46)</f>
        <v>228.58969999999999</v>
      </c>
      <c r="N46" t="s">
        <v>123</v>
      </c>
      <c r="O46">
        <f>1.003*209-20</f>
        <v>189.62699999999998</v>
      </c>
      <c r="P46">
        <v>20</v>
      </c>
      <c r="Q46">
        <f t="shared" ref="Q46" si="85">O46*0.1</f>
        <v>18.962699999999998</v>
      </c>
      <c r="R46">
        <f>SUM(O46:Q46)</f>
        <v>228.58969999999999</v>
      </c>
      <c r="Z46" t="s">
        <v>20</v>
      </c>
      <c r="AA46">
        <v>10</v>
      </c>
      <c r="AD46">
        <f t="shared" si="81"/>
        <v>10</v>
      </c>
      <c r="AL46" t="s">
        <v>123</v>
      </c>
      <c r="AM46">
        <f>1.032*209</f>
        <v>215.68800000000002</v>
      </c>
      <c r="AP46">
        <f>SUM(AM46:AO46)</f>
        <v>215.68800000000002</v>
      </c>
      <c r="AX46" t="s">
        <v>123</v>
      </c>
      <c r="AY46">
        <f>1.032*209</f>
        <v>215.68800000000002</v>
      </c>
      <c r="BB46">
        <f>SUM(AY46:BA46)</f>
        <v>215.68800000000002</v>
      </c>
      <c r="BJ46" t="s">
        <v>124</v>
      </c>
      <c r="BK46">
        <v>200</v>
      </c>
      <c r="BL46">
        <v>20</v>
      </c>
      <c r="BM46">
        <f t="shared" ref="BM46" si="86">BK46*0.1</f>
        <v>20</v>
      </c>
      <c r="BN46">
        <f>SUM(BK46:BM46)-60</f>
        <v>180</v>
      </c>
    </row>
    <row r="47" spans="1:66">
      <c r="B47" t="s">
        <v>18</v>
      </c>
      <c r="C47">
        <f>250+250+270+60+100</f>
        <v>930</v>
      </c>
      <c r="F47">
        <f t="shared" ref="F47:F60" si="87">SUM(C47:E47)</f>
        <v>930</v>
      </c>
      <c r="N47" t="s">
        <v>18</v>
      </c>
      <c r="O47">
        <f>250+250+250+250</f>
        <v>1000</v>
      </c>
      <c r="R47">
        <f t="shared" ref="R47:R61" si="88">SUM(O47:Q47)</f>
        <v>1000</v>
      </c>
      <c r="Z47" t="s">
        <v>21</v>
      </c>
      <c r="AA47">
        <v>300</v>
      </c>
      <c r="AD47">
        <f t="shared" si="81"/>
        <v>300</v>
      </c>
      <c r="AL47" t="s">
        <v>18</v>
      </c>
      <c r="AM47">
        <f>260+260+270+60+100</f>
        <v>950</v>
      </c>
      <c r="AP47">
        <f t="shared" ref="AP47:AP60" si="89">SUM(AM47:AO47)</f>
        <v>950</v>
      </c>
      <c r="AX47" t="s">
        <v>18</v>
      </c>
      <c r="AY47">
        <f>260+260+270+60+100+50</f>
        <v>1000</v>
      </c>
      <c r="BB47">
        <f t="shared" ref="BB47:BB61" si="90">SUM(AY47:BA47)</f>
        <v>1000</v>
      </c>
      <c r="BJ47" t="s">
        <v>17</v>
      </c>
      <c r="BK47">
        <f>135-40+135+135+45+45/2</f>
        <v>432.5</v>
      </c>
      <c r="BN47">
        <f>SUM(BK47:BM47)-30</f>
        <v>402.5</v>
      </c>
    </row>
    <row r="48" spans="1:66">
      <c r="B48" t="s">
        <v>7</v>
      </c>
      <c r="C48">
        <f>(0.63*SUM(D2:D8)+0.43*COUNTA(B29:B44))*21*1.1</f>
        <v>886.57800000000009</v>
      </c>
      <c r="F48">
        <f t="shared" si="87"/>
        <v>886.57800000000009</v>
      </c>
      <c r="N48" t="s">
        <v>7</v>
      </c>
      <c r="O48">
        <f>(0.63*SUM(P2:P8)+0.43*COUNTA(N29:N44))*21*1.1</f>
        <v>886.57800000000009</v>
      </c>
      <c r="R48">
        <f t="shared" si="88"/>
        <v>886.57800000000009</v>
      </c>
      <c r="Z48" t="s">
        <v>22</v>
      </c>
      <c r="AA48">
        <v>55</v>
      </c>
      <c r="AD48">
        <f t="shared" si="81"/>
        <v>55</v>
      </c>
      <c r="AL48" t="s">
        <v>7</v>
      </c>
      <c r="AM48">
        <f>(0.63*SUM(AN2:AN8)+0.43*COUNTA(AL29:AL44)+1)*21*1.1</f>
        <v>866.01900000000012</v>
      </c>
      <c r="AP48">
        <f t="shared" si="89"/>
        <v>866.01900000000012</v>
      </c>
      <c r="AX48" t="s">
        <v>7</v>
      </c>
      <c r="AY48">
        <f>(0.63*SUM(AZ2:AZ8)+0.43*COUNTA(AX29:AX44)+1)*21*1.1</f>
        <v>866.01900000000012</v>
      </c>
      <c r="BB48">
        <f t="shared" si="90"/>
        <v>866.01900000000012</v>
      </c>
      <c r="BJ48" t="s">
        <v>123</v>
      </c>
      <c r="BK48">
        <v>220</v>
      </c>
      <c r="BN48">
        <f>SUM(BK48:BM48)</f>
        <v>220</v>
      </c>
    </row>
    <row r="49" spans="2:66">
      <c r="B49" t="s">
        <v>19</v>
      </c>
      <c r="C49">
        <v>15</v>
      </c>
      <c r="F49">
        <f t="shared" si="87"/>
        <v>15</v>
      </c>
      <c r="N49" t="s">
        <v>19</v>
      </c>
      <c r="O49">
        <v>15</v>
      </c>
      <c r="R49">
        <f t="shared" si="88"/>
        <v>15</v>
      </c>
      <c r="Z49" t="s">
        <v>23</v>
      </c>
      <c r="AA49">
        <v>1080</v>
      </c>
      <c r="AD49">
        <f t="shared" si="81"/>
        <v>1080</v>
      </c>
      <c r="AL49" t="s">
        <v>19</v>
      </c>
      <c r="AM49">
        <v>15</v>
      </c>
      <c r="AP49">
        <f t="shared" si="89"/>
        <v>15</v>
      </c>
      <c r="AX49" t="s">
        <v>19</v>
      </c>
      <c r="AY49">
        <v>15</v>
      </c>
      <c r="BB49">
        <f t="shared" si="90"/>
        <v>15</v>
      </c>
      <c r="BJ49" t="s">
        <v>18</v>
      </c>
      <c r="BK49">
        <f>260+260+270+60+100+50</f>
        <v>1000</v>
      </c>
      <c r="BN49">
        <f t="shared" ref="BN49:BN63" si="91">SUM(BK49:BM49)</f>
        <v>1000</v>
      </c>
    </row>
    <row r="50" spans="2:66">
      <c r="B50" t="s">
        <v>37</v>
      </c>
      <c r="C50">
        <v>31.5</v>
      </c>
      <c r="F50">
        <f t="shared" si="87"/>
        <v>31.5</v>
      </c>
      <c r="N50" t="s">
        <v>37</v>
      </c>
      <c r="O50">
        <v>31.5</v>
      </c>
      <c r="R50">
        <f t="shared" si="88"/>
        <v>31.5</v>
      </c>
      <c r="Z50" t="s">
        <v>47</v>
      </c>
      <c r="AD50">
        <f t="shared" si="81"/>
        <v>0</v>
      </c>
      <c r="AL50" t="s">
        <v>37</v>
      </c>
      <c r="AM50">
        <v>31.5</v>
      </c>
      <c r="AP50">
        <f t="shared" si="89"/>
        <v>31.5</v>
      </c>
      <c r="AX50" t="s">
        <v>37</v>
      </c>
      <c r="AY50">
        <v>31.5</v>
      </c>
      <c r="BB50">
        <f t="shared" si="90"/>
        <v>31.5</v>
      </c>
      <c r="BJ50" t="s">
        <v>7</v>
      </c>
      <c r="BK50">
        <f>(0.63*SUM(BL2:BL8)+0.43*COUNTA(BJ31:BJ46)+1)*21*1.1</f>
        <v>866.01900000000012</v>
      </c>
      <c r="BN50">
        <f t="shared" si="91"/>
        <v>866.01900000000012</v>
      </c>
    </row>
    <row r="51" spans="2:66">
      <c r="B51" t="s">
        <v>20</v>
      </c>
      <c r="C51">
        <v>10</v>
      </c>
      <c r="F51">
        <f t="shared" si="87"/>
        <v>10</v>
      </c>
      <c r="N51" t="s">
        <v>20</v>
      </c>
      <c r="O51">
        <v>10</v>
      </c>
      <c r="R51">
        <f t="shared" si="88"/>
        <v>10</v>
      </c>
      <c r="Z51" t="s">
        <v>46</v>
      </c>
      <c r="AA51">
        <v>40</v>
      </c>
      <c r="AD51">
        <f t="shared" si="81"/>
        <v>40</v>
      </c>
      <c r="AL51" t="s">
        <v>20</v>
      </c>
      <c r="AM51">
        <v>10</v>
      </c>
      <c r="AP51">
        <f t="shared" si="89"/>
        <v>10</v>
      </c>
      <c r="AX51" t="s">
        <v>20</v>
      </c>
      <c r="AY51">
        <v>10</v>
      </c>
      <c r="BB51">
        <f t="shared" si="90"/>
        <v>10</v>
      </c>
      <c r="BJ51" t="s">
        <v>19</v>
      </c>
      <c r="BK51">
        <v>15</v>
      </c>
      <c r="BN51">
        <f t="shared" si="91"/>
        <v>15</v>
      </c>
    </row>
    <row r="52" spans="2:66">
      <c r="B52" t="s">
        <v>21</v>
      </c>
      <c r="C52">
        <v>300</v>
      </c>
      <c r="F52">
        <f t="shared" si="87"/>
        <v>300</v>
      </c>
      <c r="N52" t="s">
        <v>21</v>
      </c>
      <c r="O52">
        <v>300</v>
      </c>
      <c r="R52">
        <f t="shared" si="88"/>
        <v>300</v>
      </c>
      <c r="Z52" t="s">
        <v>27</v>
      </c>
      <c r="AA52">
        <v>66</v>
      </c>
      <c r="AD52">
        <f t="shared" si="81"/>
        <v>66</v>
      </c>
      <c r="AL52" t="s">
        <v>21</v>
      </c>
      <c r="AM52">
        <v>250</v>
      </c>
      <c r="AP52">
        <f t="shared" si="89"/>
        <v>250</v>
      </c>
      <c r="AX52" t="s">
        <v>21</v>
      </c>
      <c r="AY52">
        <v>250</v>
      </c>
      <c r="BB52">
        <f t="shared" si="90"/>
        <v>250</v>
      </c>
      <c r="BJ52" t="s">
        <v>37</v>
      </c>
      <c r="BK52">
        <v>31.5</v>
      </c>
      <c r="BN52">
        <f t="shared" si="91"/>
        <v>31.5</v>
      </c>
    </row>
    <row r="53" spans="2:66">
      <c r="B53" t="s">
        <v>22</v>
      </c>
      <c r="C53">
        <v>55</v>
      </c>
      <c r="F53">
        <f t="shared" si="87"/>
        <v>55</v>
      </c>
      <c r="N53" t="s">
        <v>22</v>
      </c>
      <c r="O53">
        <v>55</v>
      </c>
      <c r="R53">
        <f t="shared" si="88"/>
        <v>55</v>
      </c>
      <c r="Z53" t="s">
        <v>31</v>
      </c>
      <c r="AA53">
        <f>16*4</f>
        <v>64</v>
      </c>
      <c r="AD53">
        <f t="shared" si="81"/>
        <v>64</v>
      </c>
      <c r="AL53" t="s">
        <v>22</v>
      </c>
      <c r="AM53">
        <v>55</v>
      </c>
      <c r="AP53">
        <f t="shared" si="89"/>
        <v>55</v>
      </c>
      <c r="AX53" t="s">
        <v>22</v>
      </c>
      <c r="AY53">
        <v>55</v>
      </c>
      <c r="BB53">
        <f t="shared" si="90"/>
        <v>55</v>
      </c>
      <c r="BJ53" t="s">
        <v>20</v>
      </c>
      <c r="BK53">
        <v>10</v>
      </c>
      <c r="BN53">
        <f t="shared" si="91"/>
        <v>10</v>
      </c>
    </row>
    <row r="54" spans="2:66">
      <c r="B54" t="s">
        <v>23</v>
      </c>
      <c r="C54">
        <v>1080</v>
      </c>
      <c r="F54">
        <f t="shared" si="87"/>
        <v>1080</v>
      </c>
      <c r="N54" t="s">
        <v>23</v>
      </c>
      <c r="O54">
        <v>1080</v>
      </c>
      <c r="R54">
        <f t="shared" si="88"/>
        <v>1080</v>
      </c>
      <c r="Z54" t="s">
        <v>28</v>
      </c>
      <c r="AA54">
        <v>50</v>
      </c>
      <c r="AD54">
        <f t="shared" si="81"/>
        <v>50</v>
      </c>
      <c r="AL54" t="s">
        <v>23</v>
      </c>
      <c r="AM54">
        <v>1080</v>
      </c>
      <c r="AP54">
        <f t="shared" si="89"/>
        <v>1080</v>
      </c>
      <c r="AX54" t="s">
        <v>23</v>
      </c>
      <c r="AY54">
        <v>1080</v>
      </c>
      <c r="BB54">
        <f t="shared" si="90"/>
        <v>1080</v>
      </c>
      <c r="BJ54" t="s">
        <v>21</v>
      </c>
      <c r="BK54">
        <v>250</v>
      </c>
      <c r="BN54">
        <f t="shared" si="91"/>
        <v>250</v>
      </c>
    </row>
    <row r="55" spans="2:66">
      <c r="B55" t="s">
        <v>137</v>
      </c>
      <c r="C55">
        <v>36.299999999999997</v>
      </c>
      <c r="F55">
        <f t="shared" si="87"/>
        <v>36.299999999999997</v>
      </c>
      <c r="N55" t="s">
        <v>137</v>
      </c>
      <c r="O55">
        <v>36.299999999999997</v>
      </c>
      <c r="R55">
        <f t="shared" si="88"/>
        <v>36.299999999999997</v>
      </c>
      <c r="Z55" t="s">
        <v>29</v>
      </c>
      <c r="AD55">
        <v>300</v>
      </c>
      <c r="AL55" t="s">
        <v>137</v>
      </c>
      <c r="AM55">
        <v>36.299999999999997</v>
      </c>
      <c r="AP55">
        <f t="shared" si="89"/>
        <v>36.299999999999997</v>
      </c>
      <c r="AX55" t="s">
        <v>137</v>
      </c>
      <c r="AY55">
        <f>18</f>
        <v>18</v>
      </c>
      <c r="BB55">
        <f t="shared" si="90"/>
        <v>18</v>
      </c>
      <c r="BJ55" t="s">
        <v>22</v>
      </c>
      <c r="BK55">
        <v>55</v>
      </c>
      <c r="BN55">
        <f t="shared" si="91"/>
        <v>55</v>
      </c>
    </row>
    <row r="56" spans="2:66">
      <c r="B56" t="s">
        <v>46</v>
      </c>
      <c r="C56">
        <v>40</v>
      </c>
      <c r="F56">
        <f t="shared" si="87"/>
        <v>40</v>
      </c>
      <c r="N56" t="s">
        <v>46</v>
      </c>
      <c r="O56">
        <v>40</v>
      </c>
      <c r="R56">
        <f t="shared" si="88"/>
        <v>40</v>
      </c>
      <c r="Z56" t="s">
        <v>43</v>
      </c>
      <c r="AA56">
        <v>38.5</v>
      </c>
      <c r="AD56">
        <f t="shared" ref="AD56" si="92">SUM(AA56:AC56)</f>
        <v>38.5</v>
      </c>
      <c r="AL56" t="s">
        <v>46</v>
      </c>
      <c r="AM56">
        <v>40</v>
      </c>
      <c r="AP56">
        <f t="shared" si="89"/>
        <v>40</v>
      </c>
      <c r="AX56" t="s">
        <v>46</v>
      </c>
      <c r="AY56">
        <v>40</v>
      </c>
      <c r="BB56">
        <f t="shared" si="90"/>
        <v>40</v>
      </c>
      <c r="BJ56" t="s">
        <v>23</v>
      </c>
      <c r="BK56">
        <v>1080</v>
      </c>
      <c r="BN56">
        <f t="shared" si="91"/>
        <v>1080</v>
      </c>
    </row>
    <row r="57" spans="2:66">
      <c r="B57" t="s">
        <v>27</v>
      </c>
      <c r="C57">
        <v>77</v>
      </c>
      <c r="F57">
        <f t="shared" si="87"/>
        <v>77</v>
      </c>
      <c r="N57" t="s">
        <v>27</v>
      </c>
      <c r="O57">
        <v>77</v>
      </c>
      <c r="R57">
        <f t="shared" si="88"/>
        <v>77</v>
      </c>
      <c r="AL57" t="s">
        <v>27</v>
      </c>
      <c r="AM57">
        <v>77</v>
      </c>
      <c r="AP57">
        <f t="shared" si="89"/>
        <v>77</v>
      </c>
      <c r="AX57" t="s">
        <v>27</v>
      </c>
      <c r="AY57">
        <v>77</v>
      </c>
      <c r="BB57">
        <f t="shared" si="90"/>
        <v>77</v>
      </c>
      <c r="BJ57" t="s">
        <v>137</v>
      </c>
      <c r="BK57">
        <f>18</f>
        <v>18</v>
      </c>
      <c r="BN57">
        <f t="shared" si="91"/>
        <v>18</v>
      </c>
    </row>
    <row r="58" spans="2:66">
      <c r="B58" t="s">
        <v>31</v>
      </c>
      <c r="C58">
        <f>16*4</f>
        <v>64</v>
      </c>
      <c r="F58">
        <f t="shared" si="87"/>
        <v>64</v>
      </c>
      <c r="N58" t="s">
        <v>31</v>
      </c>
      <c r="O58">
        <f>16*4</f>
        <v>64</v>
      </c>
      <c r="R58">
        <f t="shared" si="88"/>
        <v>64</v>
      </c>
      <c r="Z58" t="s">
        <v>12</v>
      </c>
      <c r="AD58">
        <f>SUM(AD28:AD56)</f>
        <v>7921.1013999999996</v>
      </c>
      <c r="AI58">
        <f>AI25-AD58</f>
        <v>1565.8510740740749</v>
      </c>
      <c r="AL58" t="s">
        <v>31</v>
      </c>
      <c r="AM58">
        <f>16*4</f>
        <v>64</v>
      </c>
      <c r="AP58">
        <f t="shared" si="89"/>
        <v>64</v>
      </c>
      <c r="AX58" t="s">
        <v>31</v>
      </c>
      <c r="AY58">
        <f>16*4</f>
        <v>64</v>
      </c>
      <c r="BB58">
        <f t="shared" si="90"/>
        <v>64</v>
      </c>
      <c r="BJ58" t="s">
        <v>46</v>
      </c>
      <c r="BK58">
        <v>40</v>
      </c>
      <c r="BN58">
        <f t="shared" si="91"/>
        <v>40</v>
      </c>
    </row>
    <row r="59" spans="2:66">
      <c r="B59" t="s">
        <v>28</v>
      </c>
      <c r="C59">
        <v>50</v>
      </c>
      <c r="F59">
        <f t="shared" si="87"/>
        <v>50</v>
      </c>
      <c r="N59" t="s">
        <v>28</v>
      </c>
      <c r="O59">
        <v>50</v>
      </c>
      <c r="R59">
        <f t="shared" si="88"/>
        <v>50</v>
      </c>
      <c r="AL59" t="s">
        <v>28</v>
      </c>
      <c r="AM59">
        <v>50</v>
      </c>
      <c r="AP59">
        <f t="shared" si="89"/>
        <v>50</v>
      </c>
      <c r="AX59" t="s">
        <v>28</v>
      </c>
      <c r="AY59">
        <v>50</v>
      </c>
      <c r="BB59">
        <f t="shared" si="90"/>
        <v>50</v>
      </c>
      <c r="BJ59" t="s">
        <v>27</v>
      </c>
      <c r="BK59">
        <v>77</v>
      </c>
      <c r="BN59">
        <f t="shared" si="91"/>
        <v>77</v>
      </c>
    </row>
    <row r="60" spans="2:66">
      <c r="B60" t="s">
        <v>29</v>
      </c>
      <c r="C60">
        <v>400</v>
      </c>
      <c r="F60">
        <f t="shared" si="87"/>
        <v>400</v>
      </c>
      <c r="N60" t="s">
        <v>29</v>
      </c>
      <c r="O60">
        <v>400</v>
      </c>
      <c r="R60">
        <f t="shared" si="88"/>
        <v>400</v>
      </c>
      <c r="AL60" t="s">
        <v>29</v>
      </c>
      <c r="AM60">
        <v>400</v>
      </c>
      <c r="AP60">
        <f t="shared" si="89"/>
        <v>400</v>
      </c>
      <c r="AX60" t="s">
        <v>29</v>
      </c>
      <c r="AY60">
        <v>400</v>
      </c>
      <c r="BB60">
        <f t="shared" si="90"/>
        <v>400</v>
      </c>
      <c r="BJ60" t="s">
        <v>31</v>
      </c>
      <c r="BK60">
        <f>16*4</f>
        <v>64</v>
      </c>
      <c r="BN60">
        <f t="shared" si="91"/>
        <v>64</v>
      </c>
    </row>
    <row r="61" spans="2:66">
      <c r="B61" t="s">
        <v>43</v>
      </c>
      <c r="C61">
        <v>38.5</v>
      </c>
      <c r="F61">
        <f t="shared" ref="F61" si="93">SUM(C61:E61)</f>
        <v>38.5</v>
      </c>
      <c r="N61" t="s">
        <v>43</v>
      </c>
      <c r="O61">
        <v>38.5</v>
      </c>
      <c r="R61">
        <f t="shared" si="88"/>
        <v>38.5</v>
      </c>
      <c r="AL61" t="s">
        <v>43</v>
      </c>
      <c r="AM61">
        <v>38.5</v>
      </c>
      <c r="AP61">
        <f t="shared" ref="AP61" si="94">SUM(AM61:AO61)</f>
        <v>38.5</v>
      </c>
      <c r="AX61" t="s">
        <v>43</v>
      </c>
      <c r="AY61">
        <v>38.5</v>
      </c>
      <c r="BB61">
        <f t="shared" si="90"/>
        <v>38.5</v>
      </c>
      <c r="BJ61" t="s">
        <v>28</v>
      </c>
      <c r="BK61">
        <v>50</v>
      </c>
      <c r="BN61">
        <f t="shared" si="91"/>
        <v>50</v>
      </c>
    </row>
    <row r="62" spans="2:66">
      <c r="BJ62" t="s">
        <v>29</v>
      </c>
      <c r="BK62">
        <v>400</v>
      </c>
      <c r="BN62">
        <f t="shared" si="91"/>
        <v>400</v>
      </c>
    </row>
    <row r="63" spans="2:66">
      <c r="B63" t="s">
        <v>12</v>
      </c>
      <c r="F63">
        <f>SUM(F29:F61)</f>
        <v>9415.2677000000003</v>
      </c>
      <c r="K63">
        <f>K26-F63</f>
        <v>1990.3350888888872</v>
      </c>
      <c r="N63" t="s">
        <v>12</v>
      </c>
      <c r="R63">
        <f>SUM(R29:R61)</f>
        <v>9555.2677000000003</v>
      </c>
      <c r="W63">
        <f>W26-R63</f>
        <v>1850.3350888888872</v>
      </c>
      <c r="AL63" t="s">
        <v>12</v>
      </c>
      <c r="AP63">
        <f>SUM(AP29:AP61)</f>
        <v>9339.8070000000007</v>
      </c>
      <c r="AU63">
        <f>AU26-AP63</f>
        <v>1715.5517777777786</v>
      </c>
      <c r="AX63" t="s">
        <v>12</v>
      </c>
      <c r="BB63">
        <f>SUM(BB29:BB61)</f>
        <v>9126.0070000000014</v>
      </c>
      <c r="BG63">
        <f>BG26-BB63</f>
        <v>1629.4598148148125</v>
      </c>
      <c r="BJ63" t="s">
        <v>43</v>
      </c>
      <c r="BK63">
        <v>38.5</v>
      </c>
      <c r="BN63">
        <f t="shared" si="91"/>
        <v>38.5</v>
      </c>
    </row>
    <row r="65" spans="62:71">
      <c r="BJ65" t="s">
        <v>12</v>
      </c>
      <c r="BN65">
        <f>SUM(BN31:BN63)</f>
        <v>9310.3189999999995</v>
      </c>
      <c r="BS65">
        <f>BS28-BN65</f>
        <v>1429.3243333333321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월별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안병규</dc:creator>
  <cp:lastModifiedBy>6319</cp:lastModifiedBy>
  <dcterms:created xsi:type="dcterms:W3CDTF">2023-02-08T11:54:09Z</dcterms:created>
  <dcterms:modified xsi:type="dcterms:W3CDTF">2026-06-08T08:28:37Z</dcterms:modified>
</cp:coreProperties>
</file>